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Data" sheetId="2" state="visible" r:id="rId4"/>
    <sheet name="Analysis" sheetId="3" state="visible" r:id="rId5"/>
    <sheet name="Cleaning Log" sheetId="4" state="visible" r:id="rId6"/>
  </sheets>
  <definedNames>
    <definedName function="false" hidden="false" localSheetId="0" name="_xlnm.Print_Area" vbProcedure="false">Dashboard!$A$1:$T$58</definedName>
    <definedName function="false" hidden="true" localSheetId="1" name="_xlnm._FilterDatabase" vbProcedure="false">Data!$A$1:$L$1352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<sst xmlns="http://schemas.openxmlformats.org/spreadsheetml/2006/main" count="5512" uniqueCount="2787">
  <si>
    <t xml:space="preserve">Amazon India Product Analysis Dashboard</t>
  </si>
  <si>
    <t xml:space="preserve">Pricing, discounts and customer ratings across 1,351 unique products  |  Source: Amazon India product dataset (Kaggle)  |  Built with Excel</t>
  </si>
  <si>
    <t xml:space="preserve">Total Products</t>
  </si>
  <si>
    <t xml:space="preserve">Avg Rating</t>
  </si>
  <si>
    <t xml:space="preserve">Avg Discount</t>
  </si>
  <si>
    <t xml:space="preserve">% Rated 4.0+</t>
  </si>
  <si>
    <t xml:space="preserve">Avg MRP (₹)</t>
  </si>
  <si>
    <t xml:space="preserve">Product ID</t>
  </si>
  <si>
    <t xml:space="preserve">Product Name</t>
  </si>
  <si>
    <t xml:space="preserve">Main Category</t>
  </si>
  <si>
    <t xml:space="preserve">Sub Category</t>
  </si>
  <si>
    <t xml:space="preserve">Actual Price (₹)</t>
  </si>
  <si>
    <t xml:space="preserve">Discounted Price (₹)</t>
  </si>
  <si>
    <t xml:space="preserve">Discount %</t>
  </si>
  <si>
    <t xml:space="preserve">Rating</t>
  </si>
  <si>
    <t xml:space="preserve">Rating Count</t>
  </si>
  <si>
    <t xml:space="preserve">Discount Amount (₹)</t>
  </si>
  <si>
    <t xml:space="preserve">Discount Band</t>
  </si>
  <si>
    <t xml:space="preserve">Rating Band</t>
  </si>
  <si>
    <t xml:space="preserve">B07JW9H4J1</t>
  </si>
  <si>
    <t xml:space="preserve">Wayona Nylon Braided USB to Lightning Fast Charging and Data Sync Cable Compatible for iPhone 13, 12,11, X, 8, 7, 6, 5, iPad Air, Pro, Mini (3 FT Pack of 1, Grey)</t>
  </si>
  <si>
    <t xml:space="preserve">Computers &amp; Accessories</t>
  </si>
  <si>
    <t xml:space="preserve">Accessories &amp; Peripherals</t>
  </si>
  <si>
    <t xml:space="preserve">B098NS6PVG</t>
  </si>
  <si>
    <t xml:space="preserve">Ambrane Unbreakable 60W / 3A Fast Charging 1.5m Braided Type C Cable for Smartphones, Tablets, Laptops &amp; other Type C devices, PD Technology, 480Mbps Data Sync, Quick Charge 3.0 (RCT15A, Black)</t>
  </si>
  <si>
    <t xml:space="preserve">B096MSW6CT</t>
  </si>
  <si>
    <t xml:space="preserve">Sounce Fast Phone Charging Cable &amp; Data Sync USB Cable Compatible for iPhone 13, 12,11, X, 8, 7, 6, 5, iPad Air, Pro, Mini &amp; iOS Devices</t>
  </si>
  <si>
    <t xml:space="preserve">B08HDJ86NZ</t>
  </si>
  <si>
    <t xml:space="preserve">boAt Deuce USB 300 2 in 1 Type-C &amp; Micro USB Stress Resistant, Tangle-Free, Sturdy Cable with 3A Fast Charging &amp; 480mbps Data Transmission, 10000+ Bends Lifespan and Extended 1.5m Length(Martian Red)</t>
  </si>
  <si>
    <t xml:space="preserve">B08CF3B7N1</t>
  </si>
  <si>
    <t xml:space="preserve">Portronics Konnect L 1.2M Fast Charging 3A 8 Pin USB Cable with Charge &amp; Sync Function for iPhone, iPad (Grey)</t>
  </si>
  <si>
    <t xml:space="preserve">B08Y1TFSP6</t>
  </si>
  <si>
    <t xml:space="preserve">pTron Solero TB301 3A Type-C Data and Fast Charging Cable, Made in India, 480Mbps Data Sync, Strong and Durable 1.5-Meter Nylon Braided USB Cable for Type-C Devices for Charging Adapter (Black)</t>
  </si>
  <si>
    <t xml:space="preserve">B08WRWPM22</t>
  </si>
  <si>
    <t xml:space="preserve">boAt Micro USB 55 Tangle-free, Sturdy Micro USB Cable with 3A Fast Charging &amp; 480mbps Data Transmission (Black)</t>
  </si>
  <si>
    <t xml:space="preserve">B08DDRGWTJ</t>
  </si>
  <si>
    <t xml:space="preserve">MI Usb Type-C Cable Smartphone (Black)</t>
  </si>
  <si>
    <t xml:space="preserve">B008IFXQFU</t>
  </si>
  <si>
    <t xml:space="preserve">TP-Link USB WiFi Adapter for PC(TL-WN725N), N150 Wireless Network Adapter for Desktop - Nano Size WiFi Dongle Compatible with Windows 11/10/7/8/8.1/XP/ Mac OS 10.9-10.15 Linux Kernel 2.6.18-4.4.3</t>
  </si>
  <si>
    <t xml:space="preserve">Networking Devices</t>
  </si>
  <si>
    <t xml:space="preserve">B082LZGK39</t>
  </si>
  <si>
    <t xml:space="preserve">Ambrane Unbreakable 60W / 3A Fast Charging 1.5m Braided Micro USB Cable for Smartphones, Tablets, Laptops &amp; Other Micro USB Devices, 480Mbps Data Sync, Quick Charge 3.0 (RCM15, Black)</t>
  </si>
  <si>
    <t xml:space="preserve">B08CF3D7QR</t>
  </si>
  <si>
    <t xml:space="preserve">Portronics Konnect L POR-1081 Fast Charging 3A Type-C Cable 1.2Meter with Charge &amp; Sync Function for All Type-C Devices (Grey)</t>
  </si>
  <si>
    <t xml:space="preserve">B0789LZTCJ</t>
  </si>
  <si>
    <t xml:space="preserve">boAt Rugged v3 Extra Tough Unbreakable Braided Micro USB Cable 1.5 Meter (Black)</t>
  </si>
  <si>
    <t xml:space="preserve">B07KSMBL2H</t>
  </si>
  <si>
    <t xml:space="preserve">AmazonBasics Flexible Premium HDMI Cable (Black, 4K@60Hz, 18Gbps), 3-Foot</t>
  </si>
  <si>
    <t xml:space="preserve">Electronics</t>
  </si>
  <si>
    <t xml:space="preserve">Home Theater, TV &amp; Video</t>
  </si>
  <si>
    <t xml:space="preserve">B085DTN6R2</t>
  </si>
  <si>
    <t xml:space="preserve">Portronics Konnect CL 20W POR-1067 Type-C to 8 Pin USB 1.2M Cable with Power Delivery &amp; 3A Quick Charge Support, Nylon Braided for All Type-C and 8 Pin Devices, Green</t>
  </si>
  <si>
    <t xml:space="preserve">B09KLVMZ3B</t>
  </si>
  <si>
    <t xml:space="preserve">Portronics Konnect L 1.2M POR-1401 Fast Charging 3A 8 Pin USB Cable with Charge &amp; Sync Function (White)</t>
  </si>
  <si>
    <t xml:space="preserve">B083342NKJ</t>
  </si>
  <si>
    <t xml:space="preserve">MI Braided USB Type-C Cable for Charging Adapter (Red)</t>
  </si>
  <si>
    <t xml:space="preserve">B0B6F7LX4C</t>
  </si>
  <si>
    <t xml:space="preserve">MI 80 cm (32 inches) 5A Series HD Ready Smart Android LED TV L32M7-5AIN (Black)</t>
  </si>
  <si>
    <t xml:space="preserve">B082LSVT4B</t>
  </si>
  <si>
    <t xml:space="preserve">Ambrane Unbreakable 60W / 3A Fast Charging 1.5m Braided Type C to Type C Cable for Smartphones, Tablets, Laptops &amp; Other Type C Devices, PD Technology, 480Mbps Data Sync (RCTT15, Black)</t>
  </si>
  <si>
    <t xml:space="preserve">B08WRBG3XW</t>
  </si>
  <si>
    <t xml:space="preserve">boAt Type C A325 Tangle-free, Sturdy Type C Cable with 3A Rapid Charging &amp; 480mbps Data Transmission(Black)</t>
  </si>
  <si>
    <t xml:space="preserve">B08DPLCM6T</t>
  </si>
  <si>
    <t xml:space="preserve">LG 80 cm (32 inches) HD Ready Smart LED TV 32LM563BPTC (Dark Iron Gray)</t>
  </si>
  <si>
    <t xml:space="preserve">B09C6HXFC1</t>
  </si>
  <si>
    <t xml:space="preserve">Duracell USB Lightning Apple Certified (Mfi) Braided Sync &amp; Charge Cable For Iphone, Ipad And Ipod. Fast Charging Lightning Cable, 3.9 Feet (1.2M) - Black</t>
  </si>
  <si>
    <t xml:space="preserve">B085194JFL</t>
  </si>
  <si>
    <t xml:space="preserve">tizum HDMI to VGA Adapter Cable 1080P for Projector, Computer, Laptop, TV, Projectors &amp; TV</t>
  </si>
  <si>
    <t xml:space="preserve">B09F6S8BT6</t>
  </si>
  <si>
    <t xml:space="preserve">Samsung 80 cm (32 Inches) Wondertainment Series HD Ready LED Smart TV UA32T4340BKXXL (Glossy Black)</t>
  </si>
  <si>
    <t xml:space="preserve">B09NHVCHS9</t>
  </si>
  <si>
    <t xml:space="preserve">Flix Micro Usb Cable For Smartphone (Black)</t>
  </si>
  <si>
    <t xml:space="preserve">B0B1YVCJ2Y</t>
  </si>
  <si>
    <t xml:space="preserve">Acer 80 cm (32 inches) I Series HD Ready Android Smart LED TV AR32AR2841HDFL (Black)</t>
  </si>
  <si>
    <t xml:space="preserve">B01M4GGIVU</t>
  </si>
  <si>
    <t xml:space="preserve">Tizum High Speed HDMI Cable with Ethernet | Supports 3D 4K | for All HDMI Devices Laptop Computer Gaming Console TV Set Top Box (1.5 Meter/ 5 Feet)</t>
  </si>
  <si>
    <t xml:space="preserve">B08B42LWKN</t>
  </si>
  <si>
    <t xml:space="preserve">OnePlus 80 cm (32 inches) Y Series HD Ready LED Smart Android TV 32Y1 (Black)</t>
  </si>
  <si>
    <t xml:space="preserve">B094JNXNPV</t>
  </si>
  <si>
    <t xml:space="preserve">Ambrane Unbreakable 3 in 1 Fast Charging Braided Multipurpose Cable for Speaker with 2.1 A Speed - 1.25 meter, Black</t>
  </si>
  <si>
    <t xml:space="preserve">B09W5XR9RT</t>
  </si>
  <si>
    <t xml:space="preserve">Duracell USB C To Lightning Apple Certified (Mfi) Braided Sync &amp; Charge Cable For Iphone, Ipad And Ipod. Fast Charging Lightning Cable, 3.9 Feet (1.2M) - Black</t>
  </si>
  <si>
    <t xml:space="preserve">B077Z65HSD</t>
  </si>
  <si>
    <t xml:space="preserve">boAt A400 USB Type-C to USB-A 2.0 Male Data Cable, 2 Meter (Black)</t>
  </si>
  <si>
    <t xml:space="preserve">B00NH11PEY</t>
  </si>
  <si>
    <t xml:space="preserve">AmazonBasics USB 2.0 - A-Male to A-Female Extension Cable for Personal Computer, Printer (Black, 9.8 Feet/3 Meters)</t>
  </si>
  <si>
    <t xml:space="preserve">B09CMM3VGK</t>
  </si>
  <si>
    <t xml:space="preserve">Ambrane 60W / 3A Type C Fast Charging Unbreakable 1.5m L Shaped Braided Cable, PD Technology, 480Mbps Data Transfer for Smartphones, Tablet, Laptops &amp; other type c devices (ABLC10, Black)</t>
  </si>
  <si>
    <t xml:space="preserve">B08QSC1XY8</t>
  </si>
  <si>
    <t xml:space="preserve">Zoul USB C 60W Fast Charging 3A 6ft/2M Long Type C Nylon Braided Data Cable Quick Charger Cable QC 3.0 for Samsung Galaxy M31S M30 S10 S9 S20 Plus, Note 10 9 8, A20e A40 A50 A70 (2M, Grey)</t>
  </si>
  <si>
    <t xml:space="preserve">B008FWZGSG</t>
  </si>
  <si>
    <t xml:space="preserve">Samsung Original Type C to C Cable - 3.28 Feet (1 Meter), White</t>
  </si>
  <si>
    <t xml:space="preserve">B0B4HJNPV4</t>
  </si>
  <si>
    <t xml:space="preserve">pTron Solero T351 3.5Amps Fast Charging Type-C to Type-C PD Data &amp; Charging USB Cable, Made in India, 480Mbps Data Sync, Durable 1 Meter Long Cable for Type-C Smartphones, Tablets &amp; Laptops (Black)</t>
  </si>
  <si>
    <t xml:space="preserve">B08Y1SJVV5</t>
  </si>
  <si>
    <t xml:space="preserve">pTron Solero MB301 3A Micro USB Data &amp; Charging Cable, Made in India, 480Mbps Data Sync, Strong &amp; Durable 1.5-Meter Nylon Braided USB Cable for Micro USB Devices - (Black)</t>
  </si>
  <si>
    <t xml:space="preserve">B07XLCFSSN</t>
  </si>
  <si>
    <t xml:space="preserve">Amazonbasics Nylon Braided Usb-C To Lightning Cable, Fast Charging Mfi Certified Smartphone, Iphone Charger (6-Foot, Dark Grey)</t>
  </si>
  <si>
    <t xml:space="preserve">B09RZS1NQT</t>
  </si>
  <si>
    <t xml:space="preserve">Sounce 65W OnePlus Dash Warp Charge Cable, 6.5A Type-C to USB C PD Data Sync Fast Charging Cable Compatible with One Plus 8T/ 9/ 9R/ 9 pro/ 9RT/ 10R/ Nord &amp; for All Type C Devices – Red, 1 Meter</t>
  </si>
  <si>
    <t xml:space="preserve">B0B3MMYHYW</t>
  </si>
  <si>
    <t xml:space="preserve">OnePlus 126 cm (50 inches) Y Series 4K Ultra HD Smart Android LED TV 50Y1S Pro (Black)</t>
  </si>
  <si>
    <t xml:space="preserve">B09C6HWG18</t>
  </si>
  <si>
    <t xml:space="preserve">Duracell Type C To Type C 5A (100W) Braided Sync &amp; Fast Charging Cable, 3.9 Feet (1.2M). USB C to C Cable, Supports PD &amp; QC 3.0 Charging, 5 GBPS Data Transmission – Black</t>
  </si>
  <si>
    <t xml:space="preserve">B00NH11KIK</t>
  </si>
  <si>
    <t xml:space="preserve">AmazonBasics USB 2.0 Cable - A-Male to B-Male - for Personal Computer, Printer- 6 Feet (1.8 Meters), Black</t>
  </si>
  <si>
    <t xml:space="preserve">B09JPC82QC</t>
  </si>
  <si>
    <t xml:space="preserve">Mi 108 cm (43 inches) Full HD Android LED TV 4C | L43M6-INC (Black)</t>
  </si>
  <si>
    <t xml:space="preserve">B07JW1Y6XV</t>
  </si>
  <si>
    <t xml:space="preserve">Wayona Nylon Braided 3A Lightning to USB A Syncing and Fast Charging Data Cable for iPhone, Ipad (3 FT Pack of 1, Black)</t>
  </si>
  <si>
    <t xml:space="preserve">B07KRCW6LZ</t>
  </si>
  <si>
    <t xml:space="preserve">TP-Link Nano AC600 USB Wi-Fi Adapter(Archer T2U Nano)- 2.4G/5G Dual Band Wireless Network Adapter for PC Desktop Laptop, Mini Travel Size, Supports Windows 11,10, 8.1, 8, 7, XP/Mac OS 10.9-10.15</t>
  </si>
  <si>
    <t xml:space="preserve">B09NJN8L25</t>
  </si>
  <si>
    <t xml:space="preserve">FLiX (Beetel USB to Micro USB PVC Data Sync &amp; 2A Fast Charging Cable, Made in India, 480Mbps Data Sync, Solid Cable, 1 Meter Long USB Cable for Micro USB Devices (White)(XCD-M11)</t>
  </si>
  <si>
    <t xml:space="preserve">B07XJYYH7L</t>
  </si>
  <si>
    <t xml:space="preserve">Wecool Nylon Braided Multifunction Fast Charging Cable For Android Smartphone, Ios And Type C Usb Devices, 3 In 1 Charging Cable, 3A, (3 Feet) (Black)</t>
  </si>
  <si>
    <t xml:space="preserve">B002PD61Y4</t>
  </si>
  <si>
    <t xml:space="preserve">D-Link DWA-131 300 Mbps Wireless Nano USB Adapter (Black)</t>
  </si>
  <si>
    <t xml:space="preserve">B014I8SSD0</t>
  </si>
  <si>
    <t xml:space="preserve">Amazon Basics High-Speed HDMI Cable, 6 Feet - Supports Ethernet, 3D, 4K video,Black</t>
  </si>
  <si>
    <t xml:space="preserve">B09L8DSSFH</t>
  </si>
  <si>
    <t xml:space="preserve">7SEVEN® Compatible for Samsung Smart 4K Ultra HD TV Monitor Remote Control Replacement of Original Samsung TV Remote for LED OLED UHD QLED and Suitable for 6 7 8 Series Samsung TV with Hot Keys BN59-01259E</t>
  </si>
  <si>
    <t xml:space="preserve">B07232M876</t>
  </si>
  <si>
    <t xml:space="preserve">Amazonbasics Micro Usb Fast Charging Cable For Android Smartphone,Personal Computer,Printer With Gold Plated Connectors (6 Feet, Black)</t>
  </si>
  <si>
    <t xml:space="preserve">B07P681N66</t>
  </si>
  <si>
    <t xml:space="preserve">TP-Link AC600 600 Mbps WiFi Wireless Network USB Adapter for Desktop PC with 2.4GHz/5GHz High Gain Dual Band 5dBi Antenna Wi-Fi, Supports Windows 11/10/8.1/8/7/XP, Mac OS 10.15 and earlier (Archer T2U Plus)</t>
  </si>
  <si>
    <t xml:space="preserve">B0711PVX6Z</t>
  </si>
  <si>
    <t xml:space="preserve">AmazonBasics Micro USB Fast Charging Cable for Android Phones with Gold Plated Connectors (3 Feet, Black)</t>
  </si>
  <si>
    <t xml:space="preserve">B082T6V3DT</t>
  </si>
  <si>
    <t xml:space="preserve">AmazonBasics New Release Nylon USB-A to Lightning Cable Cord, Fast Charging MFi Certified Charger for Apple iPhone, iPad (6-Ft, Rose Gold)</t>
  </si>
  <si>
    <t xml:space="preserve">B07MKFNHKG</t>
  </si>
  <si>
    <t xml:space="preserve">VW 80 cm (32 inches) Frameless Series HD Ready LED TV VW32A (Black)</t>
  </si>
  <si>
    <t xml:space="preserve">B0BFWGBX61</t>
  </si>
  <si>
    <t xml:space="preserve">Ambrane Unbreakable 3A Fast Charging Braided Type C Cable    1.5 Meter (RCT15, Blue) Supports QC 2.0/3.0 Charging</t>
  </si>
  <si>
    <t xml:space="preserve">B01N90RZ4M</t>
  </si>
  <si>
    <t xml:space="preserve">Tata Sky Universal Remote</t>
  </si>
  <si>
    <t xml:space="preserve">B0088TKTY2</t>
  </si>
  <si>
    <t xml:space="preserve">TP-LINK WiFi Dongle 300 Mbps Mini Wireless Network USB Wi-Fi Adapter for PC Desktop Laptop(Supports Windows 11/10/8.1/8/7/XP, Mac OS 10.9-10.15 and Linux, WPS, Soft AP Mode, USB 2.0) (TL-WN823N),Black</t>
  </si>
  <si>
    <t xml:space="preserve">B09Q5SWVBJ</t>
  </si>
  <si>
    <t xml:space="preserve">OnePlus 80 cm (32 inches) Y Series HD Ready Smart Android LED TV 32 Y1S (Black)</t>
  </si>
  <si>
    <t xml:space="preserve">B0B4DT8MKT</t>
  </si>
  <si>
    <t xml:space="preserve">Wecool Unbreakable 3 in 1 Charging Cable with 3A Speed, Fast Charging Multi Purpose Cable 1.25 Mtr Long, Type C cable, Micro Usb Cable and Cable for iPhone, White</t>
  </si>
  <si>
    <t xml:space="preserve">B08CDKQ8T6</t>
  </si>
  <si>
    <t xml:space="preserve">Portronics Konnect L 1.2Mtr, Fast Charging 3A Micro USB Cable with Charge &amp; Sync Function (Grey)</t>
  </si>
  <si>
    <t xml:space="preserve">B07B275VN9</t>
  </si>
  <si>
    <t xml:space="preserve">Airtel DigitalTV DTH Television, Setup Box Remote Compatible for SD and HD Recording (Black)</t>
  </si>
  <si>
    <t xml:space="preserve">B0B15CPR37</t>
  </si>
  <si>
    <t xml:space="preserve">Samsung 108 cm (43 inches) Crystal 4K Neo Series Ultra HD Smart LED TV UA43AUE65AKXXL (Black)</t>
  </si>
  <si>
    <t xml:space="preserve">B0994GFWBH</t>
  </si>
  <si>
    <t xml:space="preserve">Lapster 1.5 mtr USB 2.0 Type A Male to USB A Male Cable for computer and laptop</t>
  </si>
  <si>
    <t xml:space="preserve">B01GGKZ0V6</t>
  </si>
  <si>
    <t xml:space="preserve">AmazonBasics USB Type-C to USB Type-C 2.0 Cable - 3 Feet Laptop (0.9 Meters) - White</t>
  </si>
  <si>
    <t xml:space="preserve">B09F9YQQ7B</t>
  </si>
  <si>
    <t xml:space="preserve">Redmi 80 cm (32 inches) Android 11 Series HD Ready Smart LED TV | L32M6-RA/L32M7-RA (Black)</t>
  </si>
  <si>
    <t xml:space="preserve">B014I8SX4Y</t>
  </si>
  <si>
    <t xml:space="preserve">Amazon Basics High-Speed HDMI Cable, 6 Feet (2-Pack),Black</t>
  </si>
  <si>
    <t xml:space="preserve">B09Q8HMKZX</t>
  </si>
  <si>
    <t xml:space="preserve">Portronics Konnect L 20W PD Quick Charge Type-C to 8-Pin USB Mobile Charging Cable, 1.2M, Tangle Resistant, Fast Data Sync(Grey)</t>
  </si>
  <si>
    <t xml:space="preserve">B0B9XN9S3W</t>
  </si>
  <si>
    <t xml:space="preserve">Acer 80 cm (32 inches) N Series HD Ready TV AR32NSV53HD (Black)</t>
  </si>
  <si>
    <t xml:space="preserve">B07966M8XH</t>
  </si>
  <si>
    <t xml:space="preserve">Model-P4 6 Way Swivel Tilt Wall Mount 32-55-inch Full Motion Cantilever for LED,LCD and Plasma TV's</t>
  </si>
  <si>
    <t xml:space="preserve">B01GGKYKQM</t>
  </si>
  <si>
    <t xml:space="preserve">Amazon Basics USB Type-C to USB-A 2.0 Male Fast Charging Cable for Laptop - 3 Feet (0.9 Meters), Black</t>
  </si>
  <si>
    <t xml:space="preserve">B0B86CDHL1</t>
  </si>
  <si>
    <t xml:space="preserve">oraimo 65W Type C to C Fast Charging Cable USB C to USB C Cable High Speed Syncing, Nylon Braided 1M length with LED Indicator Compatible For Laptop, Macbook, Samsung Galaxy S22 S20 S10 S20Fe S21 S21 Ultra A70 A51 A71 A50S M31 M51 M31S M53 5G</t>
  </si>
  <si>
    <t xml:space="preserve">B0B5ZF3NRK</t>
  </si>
  <si>
    <t xml:space="preserve">CEDO 65W OnePlus Dash Warp Charge Cable, USB A to Type C Data Sync Fast Charging Cable Compatible with One Plus 3 /3T /5 /5T /6 /6T /7 /7T /7 pro &amp; for All Type C Devices - 1 Meter, Red</t>
  </si>
  <si>
    <t xml:space="preserve">B09RFC46VP</t>
  </si>
  <si>
    <t xml:space="preserve">Redmi 108 cm (43 inches) 4K Ultra HD Android Smart LED TV X43 | L43R7-7AIN (Black)</t>
  </si>
  <si>
    <t xml:space="preserve">B08R69VDHT</t>
  </si>
  <si>
    <t xml:space="preserve">Pinnaclz Original Combo of 2 Micro USB Fast Charging Cable, USB Charging Cable for Data Transfer Perfect for Android Smart Phones White 1.2 Meter Made in India (Pack of 2)</t>
  </si>
  <si>
    <t xml:space="preserve">B09RWZRCP1</t>
  </si>
  <si>
    <t xml:space="preserve">boAt Type C A750 Stress Resistant, Tangle-free, Sturdy Flat Cable with 6.5A Fast Charging &amp; 480Mbps Data Transmission, 10000+ Bends Lifespan and Extended 1.5m Length(Rebellious Black)</t>
  </si>
  <si>
    <t xml:space="preserve">B09CMP1SC8</t>
  </si>
  <si>
    <t xml:space="preserve">Ambrane 2 in 1 Type-C &amp; Micro USB Cable with 60W / 3A Fast Charging, 480 mbps High Data, PD Technology &amp; Quick Charge 3.0, Compatible with All Type-C &amp; Micro USB Devices (ABDC-10, Black)</t>
  </si>
  <si>
    <t xml:space="preserve">B09YLXYP7Y</t>
  </si>
  <si>
    <t xml:space="preserve">Ambrane 60W / 3A Fast Charging Output Cable with Type-C to USB for Mobile, Neckband, True Wireless Earphone Charging, 480mbps Data Sync Speed, 1m Length (ACT - AZ10, Black)</t>
  </si>
  <si>
    <t xml:space="preserve">B09ZPM4C2C</t>
  </si>
  <si>
    <t xml:space="preserve">TCL 80 cm (32 inches) HD Ready Certified Android Smart LED TV 32S5205 (Black)</t>
  </si>
  <si>
    <t xml:space="preserve">B0B2DJDCPX</t>
  </si>
  <si>
    <t xml:space="preserve">SWAPKART Fast Charging Cable and Data Sync USB Cable Compatible for iPhone 6/6S/7/7+/8/8+/10/11, 12, 13 Pro max iPad Air/Mini, iPod and iOS Devices (White)</t>
  </si>
  <si>
    <t xml:space="preserve">B0BCZCQTJX</t>
  </si>
  <si>
    <t xml:space="preserve">Firestick Remote</t>
  </si>
  <si>
    <t xml:space="preserve">B07LGT55SJ</t>
  </si>
  <si>
    <t xml:space="preserve">Wayona Usb Nylon Braided Data Sync And Charging Cable For Iphone, Ipad Tablet (Red, Black)</t>
  </si>
  <si>
    <t xml:space="preserve">B09NKZXMWJ</t>
  </si>
  <si>
    <t xml:space="preserve">Flix (Beetel) Usb To Type C Pvc Data Sync And 2A 480Mbps Data Sync, Tough Fast Charging Long Cable For Usb Type C Devices, Charging Adapter (White, 1 Meter) - Xcd-C12</t>
  </si>
  <si>
    <t xml:space="preserve">B08QX1CC14</t>
  </si>
  <si>
    <t xml:space="preserve">SKYWALL 81.28 cm (32 inches) HD Ready Smart LED TV 32SWELS-PRO (Black)</t>
  </si>
  <si>
    <t xml:space="preserve">B0974H97TJ</t>
  </si>
  <si>
    <t xml:space="preserve">boAt A 350 Type C Cable for Smartphone, Charging Adapter (1.5m, Carbon Black)</t>
  </si>
  <si>
    <t xml:space="preserve">B07GVGTSLN</t>
  </si>
  <si>
    <t xml:space="preserve">Wayona Usb Type C Fast Charger Cable Fast Charging Usb C Cable/Cord Compatible For Samsung Galaxy S10E S10 S9 S8 Plus S10+,Note 10 Note 9 Note 8,S20,M31S,M40,Realme X3,Pixel 2 Xl (3 Ft Pack Of 1,Grey)</t>
  </si>
  <si>
    <t xml:space="preserve">B09VCHLSJF</t>
  </si>
  <si>
    <t xml:space="preserve">OnePlus 108 cm (43 inches) Y Series 4K Ultra HD Smart Android LED TV 43Y1S Pro (Black)</t>
  </si>
  <si>
    <t xml:space="preserve">B0B1YZX72F</t>
  </si>
  <si>
    <t xml:space="preserve">Acer 127 cm (50 inches) I Series 4K Ultra HD Android Smart LED TV AR50AR2851UDFL (Black)</t>
  </si>
  <si>
    <t xml:space="preserve">B092BJMT8Q</t>
  </si>
  <si>
    <t xml:space="preserve">Samsung 108 cm (43 inches) Crystal 4K Series Ultra HD Smart LED TV UA43AUE60AKLXL (Black)</t>
  </si>
  <si>
    <t xml:space="preserve">B0BMXMLSMM</t>
  </si>
  <si>
    <t xml:space="preserve">Lapster 65W compatible for OnePlus Dash Warp Charge Cable , type c to c cable fast charging Data Sync Cable Compatible with One Plus 10R / 9RT/ 9 pro/ 9R/ 8T/ 9/ Nord &amp; for All Type C Devices – Red, 1 Meter</t>
  </si>
  <si>
    <t xml:space="preserve">B07JH1C41D</t>
  </si>
  <si>
    <t xml:space="preserve">Wayona Nylon Braided (2 Pack) Lightning Fast Usb Data Cable Fast Charger Cord For Iphone, Ipad Tablet (3 Ft Pack Of 2, Grey)</t>
  </si>
  <si>
    <t xml:space="preserve">B0141EZMAI</t>
  </si>
  <si>
    <t xml:space="preserve">Gizga Essentials USB WiFi Adapter for PC, 150 Mbps Wireless Network Adapter for Desktop - Nano Size WiFi Dongle Compatible with Windows, Mac OS &amp; Linux Kernel | WPA/WPA2 Encryption Standards| Black</t>
  </si>
  <si>
    <t xml:space="preserve">B09Q5P2MT3</t>
  </si>
  <si>
    <t xml:space="preserve">OnePlus 108 cm (43 inches) Y Series Full HD Smart Android LED TV 43 Y1S (Black)</t>
  </si>
  <si>
    <t xml:space="preserve">B08HDH26JX</t>
  </si>
  <si>
    <t xml:space="preserve">boAt Deuce USB 300 2 in 1 Type-C &amp; Micro USB Stress Resistant, Sturdy Cable with 3A Fast Charging &amp; 480mbps Data Transmission, 10000+ Bends Lifespan and Extended 1.5m Length(Mercurial Black)</t>
  </si>
  <si>
    <t xml:space="preserve">B09VT6JKRP</t>
  </si>
  <si>
    <t xml:space="preserve">Lapster USB 3.0 A to Micro B SuperSpeed for hard disk cable - short cable</t>
  </si>
  <si>
    <t xml:space="preserve">B09T3KB6JZ</t>
  </si>
  <si>
    <t xml:space="preserve">TCL 100 cm (40 inches) Full HD Certified Android R Smart LED TV 40S6505 (Black)</t>
  </si>
  <si>
    <t xml:space="preserve">B093QCY6YJ</t>
  </si>
  <si>
    <t xml:space="preserve">ZEBRONICS ZEB-USB150WF1 WiFi USB Mini Adapter Supports 150 Mbps Wireless Data, Comes with Advanced Security WPA/WPA2 encryption Standards</t>
  </si>
  <si>
    <t xml:space="preserve">B093ZNQZ2Y</t>
  </si>
  <si>
    <t xml:space="preserve">LOHAYA Remote Compatible for Mi Smart LED TV 4A Remote Control (32"/43") [ Compatible for Mi Tv Remote Control ] [ Compatible for Mi Smart LED Tv Remote Control ]</t>
  </si>
  <si>
    <t xml:space="preserve">B08LKS3LSP</t>
  </si>
  <si>
    <t xml:space="preserve">Gilary Multi Charging Cable, 3 in 1 Nylon Braided Fast Charging Cable for iPhone Micro USB Type C Mobile Phone | Colour May Vary |</t>
  </si>
  <si>
    <t xml:space="preserve">B00V4BGDKU</t>
  </si>
  <si>
    <t xml:space="preserve">TP-Link UE300 USB 3.0 to RJ45 Gigabit Ethernet Network Adapter - Plug and Play</t>
  </si>
  <si>
    <t xml:space="preserve">B08CHKQ8D4</t>
  </si>
  <si>
    <t xml:space="preserve">Wayona Type C to Lightning MFI Certified 20W Fast charging Nylon Braided USB C Cable for iPhone 14, 14 Pro, 14 Pro Max, 14 Plus, 13, 13 Pro, 13 Pro Max, 13 Mini, 12, 12 Pro, 11, 11 Pro Max iPhone 12 Mini, X, 8 (2M, Grey)</t>
  </si>
  <si>
    <t xml:space="preserve">B09BW334ML</t>
  </si>
  <si>
    <t xml:space="preserve">Dealfreez Case Compatible with Fire TV Stick 3rd Gen 2021 Full Wrap Silicone Remote Cover Anti-Lost with Loop (D-Black)</t>
  </si>
  <si>
    <t xml:space="preserve">B082T6GVLJ</t>
  </si>
  <si>
    <t xml:space="preserve">Amazon Basics New Release Nylon USB-A to Lightning Cable Cord, Fast Charging MFi Certified Charger for Apple iPhone, iPad (3-Ft, Rose Gold)</t>
  </si>
  <si>
    <t xml:space="preserve">B07DL1KC3H</t>
  </si>
  <si>
    <t xml:space="preserve">Isoelite Remote Compatible for Samsung LED/LCD Remote Control Works with All Samsung LED/LCD TV Model No :- BN59-607A (Please Match The Image with Your Old Remote)</t>
  </si>
  <si>
    <t xml:space="preserve">B0B6F98KJJ</t>
  </si>
  <si>
    <t xml:space="preserve">MI 100 cm (40 inches) 5A Series Full HD Smart Android LED TV with 24W Dolby Audio &amp; Metal Bezel-Less Frame (Black) (2022 Model)</t>
  </si>
  <si>
    <t xml:space="preserve">B07JNVF678</t>
  </si>
  <si>
    <t xml:space="preserve">Wayona Nylon Braided USB Data Sync and Fast Charging 3A Short Power Bank Cable For iPhones, iPad Air, iPad mini, iPod Nano and iPod Touch (Grey)</t>
  </si>
  <si>
    <t xml:space="preserve">B09QGZFBPM</t>
  </si>
  <si>
    <t xml:space="preserve">Wayona Type C To Type C Long Fast Charging Cable Type C Charger Cord Compatible With Samsung S22 S20 S20 Fe 2022 S22 Ultra S21 Ultra A70 A51 A53 A33 A73 M51 M31 M33 M53 (Grey, 2M, 65W, 6Ft)</t>
  </si>
  <si>
    <t xml:space="preserve">B07JGDB5M1</t>
  </si>
  <si>
    <t xml:space="preserve">Wayona Nylon Braided 2M / 6Ft Fast Charge Usb To Lightning Data Sync And Charging Cable For Iphone, Ipad Tablet (6 Ft Pack Of 1, Grey)</t>
  </si>
  <si>
    <t xml:space="preserve">B0981XSZJ7</t>
  </si>
  <si>
    <t xml:space="preserve">CROSSVOLT Compatible Dash/Warp Data Sync Fast Charging Cable Supported for All C Type Devices (Cable)</t>
  </si>
  <si>
    <t xml:space="preserve">B0B9XLX8VR</t>
  </si>
  <si>
    <t xml:space="preserve">VU 139 cm (55 inches) The GloLED Series 4K Smart LED Google TV 55GloLED (Grey)</t>
  </si>
  <si>
    <t xml:space="preserve">B08Y5KXR6Z</t>
  </si>
  <si>
    <t xml:space="preserve">PTron Solero T241 2.4A Type-C Data &amp; Charging USB Cable, Made in India, 480Mbps Data Sync, Durable 1-Meter Long USB Cable for Type-C USB Devices for Charging Adapter (Black)</t>
  </si>
  <si>
    <t xml:space="preserve">B09F6VHQXB</t>
  </si>
  <si>
    <t xml:space="preserve">Croma 80 cm (32 Inches) HD Ready LED TV (CREL7369, Black) (2021 Model)</t>
  </si>
  <si>
    <t xml:space="preserve">B0974G5Q2Y</t>
  </si>
  <si>
    <t xml:space="preserve">boAt Laptop, Smartphone Type-c A400 Male Data Cable (Carbon Black)</t>
  </si>
  <si>
    <t xml:space="preserve">B09YL9SN9B</t>
  </si>
  <si>
    <t xml:space="preserve">LG 80 cm (32 inches) HD Ready Smart LED TV 32LQ576BPSA (Ceramic Black)</t>
  </si>
  <si>
    <t xml:space="preserve">B09RX1FK54</t>
  </si>
  <si>
    <t xml:space="preserve">boAt Type C A750 Stress Resistant, Tangle-free, Sturdy Flat Cable with 6.5A Fast Charging &amp; 480Mbps Data Transmission, 10000+ Bends Lifespan and Extended 1.5m Length(Radiant Red)</t>
  </si>
  <si>
    <t xml:space="preserve">B09TT6BFDX</t>
  </si>
  <si>
    <t xml:space="preserve">Cotbolt Silicone Protective Case Cover for LG an MR21GA Magic Remote Shockproof for LG Smart TV Remote 2021 Protective Skin Waterproof Anti Lost (Black) (Remote Not Included)</t>
  </si>
  <si>
    <t xml:space="preserve">B09KH58JZR</t>
  </si>
  <si>
    <t xml:space="preserve">Portronics Konnect L POR-1403 Fast Charging 3A Type-C Cable 1.2 Meter with Charge &amp; Sync Function for All Type-C Devices (White)</t>
  </si>
  <si>
    <t xml:space="preserve">B09DDCQFMT</t>
  </si>
  <si>
    <t xml:space="preserve">Electvision Remote Control Compatible with Amazon Fire tv Stick (Pairing Manual Will be Back Side Remote Control)(P)</t>
  </si>
  <si>
    <t xml:space="preserve">B08RP2L2NL</t>
  </si>
  <si>
    <t xml:space="preserve">King Shine Multi Retractable 3.0A Fast Charger Cord, Multiple Charging Cable 4Ft/1.2m 3-in-1 USB Charge Cord Compatible with Phone/Type C/Micro USB for All Android and iOS Smartphones (Random Colour)</t>
  </si>
  <si>
    <t xml:space="preserve">B0B4G2MWSB</t>
  </si>
  <si>
    <t xml:space="preserve">Lapster 5 pin mini usb cable, usb b cable,camera cable usb2.0 for External HDDS/Card Readers/Camera etc.</t>
  </si>
  <si>
    <t xml:space="preserve">B0B21C4BMX</t>
  </si>
  <si>
    <t xml:space="preserve">Portronics Konnect Spydr 31 3-in-1 Multi Functional Cable with 3.0A Output, Tangle Resistant, 1.2M Length, Nylon Braided(Zebra)</t>
  </si>
  <si>
    <t xml:space="preserve">B084MZXJNK</t>
  </si>
  <si>
    <t xml:space="preserve">Belkin Apple Certified Lightning To Type C Cable, Tough Unbreakable Braided Fast Charging For Iphone, Ipad, Air Pods, 3.3 Feet (1 Meters)    White</t>
  </si>
  <si>
    <t xml:space="preserve">B0BHZCNC4P</t>
  </si>
  <si>
    <t xml:space="preserve">Remote Control Compatible for Amazon Fire Tv Stick Remote Control [ 3rd Gen ](Not Compatible for Fire TV Edition Smart TV) from basesailor</t>
  </si>
  <si>
    <t xml:space="preserve">B0B16KD737</t>
  </si>
  <si>
    <t xml:space="preserve">VW 80 cm (32 inches) Playwall Frameless Series HD Ready Android Smart LED TV VW3251 (Black)</t>
  </si>
  <si>
    <t xml:space="preserve">B099K9ZX65</t>
  </si>
  <si>
    <t xml:space="preserve">Hisense 108 cm (43 inches) 4K Ultra HD Smart Certified Android LED TV 43A6GE (Black)</t>
  </si>
  <si>
    <t xml:space="preserve">B08Y55LPBF</t>
  </si>
  <si>
    <t xml:space="preserve">Redmi 126 cm (50 inches) 4K Ultra HD Android Smart LED TV X50 | L50M6-RA (Black)</t>
  </si>
  <si>
    <t xml:space="preserve">B015OW3M1W</t>
  </si>
  <si>
    <t xml:space="preserve">AmazonBasics 6-Feet DisplayPort (not USB port) to HDMI Cable Black</t>
  </si>
  <si>
    <t xml:space="preserve">B01D5H8ZI8</t>
  </si>
  <si>
    <t xml:space="preserve">AmazonBasics 3 Feet High Speed HDMI Male to Female 2.0 Extension Cable</t>
  </si>
  <si>
    <t xml:space="preserve">B09X1M3DHX</t>
  </si>
  <si>
    <t xml:space="preserve">iFFALCON 80 cm (32 inches) HD Ready Smart LED TV 32F53 (Black)</t>
  </si>
  <si>
    <t xml:space="preserve">B09MM6P76N</t>
  </si>
  <si>
    <t xml:space="preserve">7SEVEN® Compatible Lg Smart Tv Remote Suitable for Any LG LED OLED LCD UHD Plasma Android Television and AKB75095303 replacement of Original Lg Tv Remote Control</t>
  </si>
  <si>
    <t xml:space="preserve">B01D5H8LDM</t>
  </si>
  <si>
    <t xml:space="preserve">AmazonBasics 3.5mm to 2-Male RCA Adapter Cable For Tablet, Smartphone (Black, 15 feet)</t>
  </si>
  <si>
    <t xml:space="preserve">B0B1YY6JJL</t>
  </si>
  <si>
    <t xml:space="preserve">Acer 109 cm (43 inches) I Series 4K Ultra HD Android Smart LED TV AR43AR2851UDFL (Black)</t>
  </si>
  <si>
    <t xml:space="preserve">B09QGZM8QB</t>
  </si>
  <si>
    <t xml:space="preserve">Wayona Usb Type C 65W 6Ft/2M Long Fast Charging Cable Compatible For Samsung S22 S20 Fe S21 Ultra A33 A53 A01 A73 A70 A51 M33 M53 M51 M31(2M, Black)</t>
  </si>
  <si>
    <t xml:space="preserve">B08L4SBJRY</t>
  </si>
  <si>
    <t xml:space="preserve">Saifsmart Outlet Wall Mount Hanger Holder for Dot 3rd Gen, Compact Bracket Case Plug and Built-in Cable Management for Kitchen Bathroom, Bedroom (Black)</t>
  </si>
  <si>
    <t xml:space="preserve">Home Audio</t>
  </si>
  <si>
    <t xml:space="preserve">B09X79PP8F</t>
  </si>
  <si>
    <t xml:space="preserve">MI 2-in-1 USB Type C Cable (Micro USB to Type C) 30cm for Smartphone, Headphone, Laptop (White)</t>
  </si>
  <si>
    <t xml:space="preserve">B082T6GVG9</t>
  </si>
  <si>
    <t xml:space="preserve">AmazonBasics New Release ABS USB-A to Lightning Cable Cord, Fast Charging MFi Certified Charger for Apple iPhone, iPad Tablet (3-Ft, White)</t>
  </si>
  <si>
    <t xml:space="preserve">B0B3XY5YT4</t>
  </si>
  <si>
    <t xml:space="preserve">LG 108 cm (43 inches) 4K Ultra HD Smart LED TV 43UQ7500PSF (Ceramic Black)</t>
  </si>
  <si>
    <t xml:space="preserve">B0B4HKH19N</t>
  </si>
  <si>
    <t xml:space="preserve">pTron Solero 331 3.4Amps Multifunction Fast Charging Cable, 3-in-1 USB Cable Micro USB/Type-C/iOS, Made in India, Durable &amp; Strong &amp; Tangle-free 118cm in Length (Black)</t>
  </si>
  <si>
    <t xml:space="preserve">B08TGG316Z</t>
  </si>
  <si>
    <t xml:space="preserve">10k 8k 4k HDMI Cable, Certified 48Gbps 1ms Ultra High Speed HDMI 2.1 Cable 4k 120Hz 144Hz 2k 165Hz 8k 60Hz Dynamic HDR ARC eARC DTS:X Compatible for Mac Gaming PC Soundbar TV Monitor Laptop PS5 4 Xbox</t>
  </si>
  <si>
    <t xml:space="preserve">B071VMP1Z4</t>
  </si>
  <si>
    <t xml:space="preserve">LRIPL Compatible Sony Bravia LCD/led Remote Works with Almost All Sony led/LCD tv's</t>
  </si>
  <si>
    <t xml:space="preserve">B071SDRGWL</t>
  </si>
  <si>
    <t xml:space="preserve">boAt Type-c A400 Type-c to USB A Cable for All Type C Phones (Lg nexus 5x), 1Mtr(Black)</t>
  </si>
  <si>
    <t xml:space="preserve">B08PSQRW2T</t>
  </si>
  <si>
    <t xml:space="preserve">Zoul Type C to Type C Fast Charging Cable 65W 2M/6ft USB C Nylon Braided Cord Compatible with MacBook Oneplus 9 9R Samsung Galaxy S21 Ultra S20+ (2M, Black)</t>
  </si>
  <si>
    <t xml:space="preserve">B0859M539M</t>
  </si>
  <si>
    <t xml:space="preserve">TP-LINK AC1300 Archer T3U Plus High Gain USB 3.0 Wi-Fi Dongle, Wireless Dual Band MU-MIMO WiFi Adapter with High Gain Antenna, Supports Windows 11/10/8.1/8/7/XP/MacOS</t>
  </si>
  <si>
    <t xml:space="preserve">B08RX8G496</t>
  </si>
  <si>
    <t xml:space="preserve">LRIPL Mi Remote Control with Netflix &amp; Prime Video Button Compatible for Mi 4X LED Android Smart TV 4A Remote Control (32"/43") with Voice Command (Pairing Required)</t>
  </si>
  <si>
    <t xml:space="preserve">B002SZEOLG</t>
  </si>
  <si>
    <t xml:space="preserve">TP-Link Nano USB WiFi Dongle 150Mbps High Gain Wireless Network Wi-Fi Adapter for PC Desktop and Laptops, Supports Windows 10/8.1/8/7/XP, Linux, Mac OS X (TL-WN722N)</t>
  </si>
  <si>
    <t xml:space="preserve">B08CS3BT4L</t>
  </si>
  <si>
    <t xml:space="preserve">Kodak 80 cm (32 inches) HD Ready Certified Android LED TV 32HDX7XPRO (Black)</t>
  </si>
  <si>
    <t xml:space="preserve">B00RFWNJMC</t>
  </si>
  <si>
    <t xml:space="preserve">Airtel DigitalTV DTH Remote SD/HD/HD Recording Compatible for Television (Shining Black )</t>
  </si>
  <si>
    <t xml:space="preserve">B082T6GXS5</t>
  </si>
  <si>
    <t xml:space="preserve">AmazonBasics New Release Nylon USB-A to Lightning Cable Cord, MFi Certified Charger for Apple iPhone, iPad, Silver, 6-Ft</t>
  </si>
  <si>
    <t xml:space="preserve">B09CMQRQM6</t>
  </si>
  <si>
    <t xml:space="preserve">Ambrane Fast 100W Output Cable with Type-C to Type-C for Mobile, Laptop, Macbook &amp; Table Charging, 480mbps Data Sync Speed, Braided Cable, 1.5m Length (ABCC-100, Black-Grey)</t>
  </si>
  <si>
    <t xml:space="preserve">B005LJQMCK</t>
  </si>
  <si>
    <t xml:space="preserve">BlueRigger Digital Optical Audio Toslink Cable (3.3 Feet / 1 Meter) With 8 Channel (7.1) Audio Support (for Home Theatre, Xbox, Playstation etc.)</t>
  </si>
  <si>
    <t xml:space="preserve">B09C6H53KH</t>
  </si>
  <si>
    <t xml:space="preserve">Duracell Type-C To Micro 1.2M braided Sync &amp; Charge Cable, USB C to Micro Fast Charge Compatible for fast data transmission (Black)</t>
  </si>
  <si>
    <t xml:space="preserve">B0BB3CBFBM</t>
  </si>
  <si>
    <t xml:space="preserve">VU 138 cm (55 inches) Premium Series 4K Ultra HD Smart IPS LED TV 55UT (Black)</t>
  </si>
  <si>
    <t xml:space="preserve">B08QSDKFGQ</t>
  </si>
  <si>
    <t xml:space="preserve">Zoul USB Type C Fast Charging 3A Nylon Braided Data Cable Quick Charger Cable QC 3.0 for Samsung Galaxy M31s M30 S10 S9 S20 Plus, Note 10 9 8, A20e A40 A50 A70 (1M, Grey)</t>
  </si>
  <si>
    <t xml:space="preserve">B08PV1X771</t>
  </si>
  <si>
    <t xml:space="preserve">Samsung 80 cm (32 inches) Wondertainment Series HD Ready LED Smart TV UA32TE40AAKBXL (Titan Gray)</t>
  </si>
  <si>
    <t xml:space="preserve">B07YTNKVJQ</t>
  </si>
  <si>
    <t xml:space="preserve">MI Xiaomi USB Type C HYperCharge Cable 6A 100cm Sturdy and Durable Black Supports 120W HyperCharging</t>
  </si>
  <si>
    <t xml:space="preserve">B0117H7GZ6</t>
  </si>
  <si>
    <t xml:space="preserve">GENERIC Ultra-Mini Bluetooth CSR 4.0 USB Dongle Adapter for Windows Computer ( Black:Golden)</t>
  </si>
  <si>
    <t xml:space="preserve">B09XJ1LM7R</t>
  </si>
  <si>
    <t xml:space="preserve">7SEVEN® Compatible for Tata Sky Remote Original Set Top HD Box and Suitable for SD Tata Play setup Box Remote Control</t>
  </si>
  <si>
    <t xml:space="preserve">B084N133Y7</t>
  </si>
  <si>
    <t xml:space="preserve">Belkin Apple Certified Lightning To Type C Cable, Fast Charging For Iphone, Ipad, Air Pods, 3.3 Feet (1 Meters)    White</t>
  </si>
  <si>
    <t xml:space="preserve">B088Z1YWBC</t>
  </si>
  <si>
    <t xml:space="preserve">EGate i9 Pro-Max 1080p Native Full HD Projector 4k Support | 3600 L (330 ANSI ) | 150" (381 cm) Large Screen | VGA, AV, HDMI, SD Card, USB, Audio Out | (E03i31 / E04i32) Black</t>
  </si>
  <si>
    <t xml:space="preserve">B07VSG5SXZ</t>
  </si>
  <si>
    <t xml:space="preserve">ZEBRONICS HAA2021 HDMI version 2.1 cable with 8K @ 60Hz, 4K @ 120Hz, eARC &amp; CEC support, 3D compatible, 2 meters length, 48Gbps max and Gold-plated connectors</t>
  </si>
  <si>
    <t xml:space="preserve">B08RWCZ6SY</t>
  </si>
  <si>
    <t xml:space="preserve">7SEVEN® Compatible for Sony Bravia LCD LED UHD OLED QLED 4K Ultra HD TV remote control with YouTube and NETFLIX Hotkeys. Universal Replacement for Original Sony Smart Android tv Remote Control</t>
  </si>
  <si>
    <t xml:space="preserve">B07KSB1MLX</t>
  </si>
  <si>
    <t xml:space="preserve">AmazonBasics Digital Optical Coax to Analog RCA Audio Converter Adapter with Fiber Cable</t>
  </si>
  <si>
    <t xml:space="preserve">B081FG1QYX</t>
  </si>
  <si>
    <t xml:space="preserve">Wayona Type C Cable Nylon Braided USB C QC 3.0 Fast Charging Short Power Bank Cable for Samsung Galaxy S10e/S10+/S10/S9/S9+/Note 9/S8/Note 8, LG G7 G5 G6, Moto G6 G7 (0.25M, Black)</t>
  </si>
  <si>
    <t xml:space="preserve">B08R69WBN7</t>
  </si>
  <si>
    <t xml:space="preserve">Pinnaclz Original Combo of 2 USB Type C Fast Charging Cable, USB C Data Cable for Charging and Data Transfer Smart Phones White 1.2 Meter Made in India (Pack of 2)</t>
  </si>
  <si>
    <t xml:space="preserve">B0B3RHX6B6</t>
  </si>
  <si>
    <t xml:space="preserve">Ambrane BCL-15 Lightning Cable for Smartphone (1.5m Black)</t>
  </si>
  <si>
    <t xml:space="preserve">B084N18QZY</t>
  </si>
  <si>
    <t xml:space="preserve">Belkin USB C to USB-C Fast Charging Type C Cable, 60W PD, 3.3 feet (1 meter) for Laptop, Personal Computer, Tablet, Smartphone - Black, USB-IF Certified</t>
  </si>
  <si>
    <t xml:space="preserve">B081NHWT6Z</t>
  </si>
  <si>
    <t xml:space="preserve">LOHAYA Television Remote Compatible with Samsung Smart LED/LCD/HD TV Remote Control [ Compatible for All Samsung Tv Remote Control ]</t>
  </si>
  <si>
    <t xml:space="preserve">B07JPJJZ2H</t>
  </si>
  <si>
    <t xml:space="preserve">Wayona Nylon Braided Lightning USB Data Sync &amp; 3A Charging Cable for iPhones, iPad Air, iPad Mini, iPod Nano and iPod Touch (3 FT Pack of 1, Grey)</t>
  </si>
  <si>
    <t xml:space="preserve">B09JKNF147</t>
  </si>
  <si>
    <t xml:space="preserve">Electvision Remote Control Compatible with Kodak/Thomson Smart led tv (Without Voice) Before Placing Order for verification Contact Our coustmer Care 7738090464</t>
  </si>
  <si>
    <t xml:space="preserve">B0B9959XF3</t>
  </si>
  <si>
    <t xml:space="preserve">Acer 80 cm (32 inches) S Series HD Ready Android Smart LED TV AR32AR2841HDSB (Black)</t>
  </si>
  <si>
    <t xml:space="preserve">B09PNR6F8Q</t>
  </si>
  <si>
    <t xml:space="preserve">realme 10W Fast Charging Micro-USB Cable (Braided, Black)</t>
  </si>
  <si>
    <t xml:space="preserve">B07M69276N</t>
  </si>
  <si>
    <t xml:space="preserve">TP-Link AC1300 USB WiFi Adapter (Archer T3U) - 2.4G/5G Dual Band Mini Wireless Network Adapter for PC Desktop, MU-MIMO Wi-Fi Dongle, USB 3.0, Supports Windows 11,10, 8.1, 8, 7, XP/Mac OS 10.15 and earlier</t>
  </si>
  <si>
    <t xml:space="preserve">B0B1YZ9CB8</t>
  </si>
  <si>
    <t xml:space="preserve">Acer 139 cm (55 inches) I Series 4K Ultra HD Android Smart LED TV AR55AR2851UDFL (Black)</t>
  </si>
  <si>
    <t xml:space="preserve">B09YLYB9PB</t>
  </si>
  <si>
    <t xml:space="preserve">Ambrane 60W / 3A Fast Charging Output Cable with Micro to USB for Mobile, Neckband, True Wireless Earphone Charging, 480mbps Data Sync Speed, 1m Length (ACM - AZ1, Black)</t>
  </si>
  <si>
    <t xml:space="preserve">B08CTNJ985</t>
  </si>
  <si>
    <t xml:space="preserve">Wayona USB Type C 65W Fast Charging 2M/6Ft Long Flash Charge Cable 3A QC 3.0 Data Cable Compatible with Samsung Galaxy S21 S10 S9 S8, iQOO Z3, Vivo, Note 10 9 8, A20e A40 A50 A70, Moto G7 G8 (2M, Grey)</t>
  </si>
  <si>
    <t xml:space="preserve">B0BP7XLX48</t>
  </si>
  <si>
    <t xml:space="preserve">Syncwire LTG to USB Cable for Fast Charging Compatible with Phone 5/ 5C/ 5S/ 6/ 6S/ 7/8/ X/XR/XS Max/ 11/12/ 13 Series and Pad Air/Mini, Pod &amp; Other Devices (1.1 Meter, White)</t>
  </si>
  <si>
    <t xml:space="preserve">B09LHXNZLR</t>
  </si>
  <si>
    <t xml:space="preserve">Skadioo WiFi Adapter for pc | Car Accessories, WiFi Dongle for pc | USB WiFi Adapter for pc | Wi-Fi Receiver 2.4GHz, 802.11b/g/n UNano Size WiFi Dongle Compatible Adapter,WiFi dongle for pc</t>
  </si>
  <si>
    <t xml:space="preserve">B0B3N8VG24</t>
  </si>
  <si>
    <t xml:space="preserve">FLiX (Beetel USB to Type C PVC Data Sync &amp; 15W(3A) TPE Fast Charging Cable, Made in India, 480Mbps Data Sync, 1 Meter Long cable for all Andriod &amp; all Type C Devices (Black)(XCD - FPC02)</t>
  </si>
  <si>
    <t xml:space="preserve">B08PSVBB2X</t>
  </si>
  <si>
    <t xml:space="preserve">Zoul USB C to USB C Fast Charging Cable 65W Type C to Type C Nylon Braided Cord Compatible with Macbook Oneplus 9 10R Samsung Galaxy S22 S21 Ultra Z Flip3 Macbook Air/Pro M1 Google Pixel 11'' iPad Pro 2020/2018 (2M, Grey)</t>
  </si>
  <si>
    <t xml:space="preserve">B0B3MQXNFB</t>
  </si>
  <si>
    <t xml:space="preserve">FLiX (Beetel Flow USB to Micro USB PVC Data Sync &amp; 12W(2.4A) Fast Charging Cable,Made in India,480Mbps Data Sync,Solid Cable,1 Meter Long cable for all Andriod &amp; Micro USB Devices (Black)(XCD-FPM01)</t>
  </si>
  <si>
    <t xml:space="preserve">B08XMSKKMM</t>
  </si>
  <si>
    <t xml:space="preserve">7SEVEN® Bluetooth Voice Command Remote for Xiaomi Redmi Mi Smart TV with Netflix &amp; Prime Video Hot Keys XMRM-00A</t>
  </si>
  <si>
    <t xml:space="preserve">B09L8DT7D6</t>
  </si>
  <si>
    <t xml:space="preserve">Sony TV - Remote Compatible for Sony LED Remote Control Works with Sony LED TV by Trend Trail Speed tech &amp; Remote hi Remote &amp; REO India only</t>
  </si>
  <si>
    <t xml:space="preserve">B00GE55L22</t>
  </si>
  <si>
    <t xml:space="preserve">Storite USB 3.0 Cable A to Micro B high Speed Upto 5 Gbps Data Transfer Cable for Portable External Hard Drive - (20cm), Black</t>
  </si>
  <si>
    <t xml:space="preserve">B0162K34H2</t>
  </si>
  <si>
    <t xml:space="preserve">boAt LTG 500 Apple MFI Certified for iPhone, iPad and iPod 2Mtr Data Cable(Space Grey)</t>
  </si>
  <si>
    <t xml:space="preserve">B0B8SRZ5SV</t>
  </si>
  <si>
    <t xml:space="preserve">AmazonBasics USB C to Lightning Aluminum with Nylon Braided MFi Certified Charging Cable (Grey, 1.2 meter)</t>
  </si>
  <si>
    <t xml:space="preserve">B07CWNJLPC</t>
  </si>
  <si>
    <t xml:space="preserve">AmazonBasics Double Braided Nylon USB Type-C to Type-C 2.0 Cable Smartphone (Dark Grey, 3 feet)</t>
  </si>
  <si>
    <t xml:space="preserve">B00NH12R1O</t>
  </si>
  <si>
    <t xml:space="preserve">Amazon Basics USB 3.0 Cable - A Male to Micro B - 6 Feet (1.8 Meters), Black</t>
  </si>
  <si>
    <t xml:space="preserve">B0B8SSC5D9</t>
  </si>
  <si>
    <t xml:space="preserve">AmazonBasics USB C to Lightning Aluminum with Nylon Braided MFi Certified Charging Cable (Grey, 1.8 meter)</t>
  </si>
  <si>
    <t xml:space="preserve">B08WKG2MWT</t>
  </si>
  <si>
    <t xml:space="preserve">Wayona Usb C 65W Fast Charging Cable Compatible For Tablets Samsung S22 S20 S10 S20Fe S21 S21 Ultra A70 A51 A71 A50S M31 M51 M31S M53 5G (1M, Black)</t>
  </si>
  <si>
    <t xml:space="preserve">B0B466C3G4</t>
  </si>
  <si>
    <t xml:space="preserve">Karbonn 80 cm (32 inches) Millenium Bezel-Less Series HD Ready Smart LED TV KJW32SKHD (Phantom Black)</t>
  </si>
  <si>
    <t xml:space="preserve">B005LJQMZC</t>
  </si>
  <si>
    <t xml:space="preserve">BlueRigger Digital Optical Audio Toslink Cable (6 Feet / 1.8 Meter) With 8 Channel (7.1) Audio Support (for Home Theatre, Xbox, Playstation etc.)</t>
  </si>
  <si>
    <t xml:space="preserve">B07MDRGHWQ</t>
  </si>
  <si>
    <t xml:space="preserve">VW 60 cm (24 inches) Premium Series HD Ready LED TV VW24A (Black)</t>
  </si>
  <si>
    <t xml:space="preserve">B07DC4RZPY</t>
  </si>
  <si>
    <t xml:space="preserve">Amazon Basics USB A to Lightning MFi Certified Charging Cable (White, 1.2 meter)</t>
  </si>
  <si>
    <t xml:space="preserve">B0B15GSPQW</t>
  </si>
  <si>
    <t xml:space="preserve">Samsung 138 cm (55 inches) Crystal 4K Neo Series Ultra HD Smart LED TV UA55AUE65AKXXL (Black)</t>
  </si>
  <si>
    <t xml:space="preserve">B08GJNM9N7</t>
  </si>
  <si>
    <t xml:space="preserve">LOHAYA Television Remote Compatible for VU LED LCD HD Tv Remote Control Model No :- EN2B27V</t>
  </si>
  <si>
    <t xml:space="preserve">B09C6FML9B</t>
  </si>
  <si>
    <t xml:space="preserve">Duracell Micro USB 3A Braided Sync &amp; Fast Charging Cable, 3.9 Feet (1.2M). Supports QC 2.0/3.0 Charging, High Speed Data Transmission - Black</t>
  </si>
  <si>
    <t xml:space="preserve">B0B65MJ45G</t>
  </si>
  <si>
    <t xml:space="preserve">Zebronics CU3100V Fast charging Type C cable with QC 18W support, 3A max capacity, 1 meter braided cable, Data transfer and Superior durability (Braided Black + White)</t>
  </si>
  <si>
    <t xml:space="preserve">B08P9RYPLR</t>
  </si>
  <si>
    <t xml:space="preserve">FLiX (Beetel) USB to iPhone Lightning Textured Pattern Data Sync &amp; 2A Fast Charging Cable, Made in India, 480Mbps Data Sync, Tough Cable, 1 Meter Long USB Cable for Apple Devices (Black)(XCD-L102)</t>
  </si>
  <si>
    <t xml:space="preserve">B0B6F8HHR6</t>
  </si>
  <si>
    <t xml:space="preserve">MI 108 cm (43 inches) 5A Series Full HD Smart Android LED TV L43M7-EAIN (Black)</t>
  </si>
  <si>
    <t xml:space="preserve">B084MZXJN6</t>
  </si>
  <si>
    <t xml:space="preserve">Belkin Apple Certified Lightning to USB Charge and Sync Cable for iPhone, iPad, Air Pods, 39.6 inch (100cm) – Black</t>
  </si>
  <si>
    <t xml:space="preserve">B08XMG618K</t>
  </si>
  <si>
    <t xml:space="preserve">Time Office Scanner Replacement Cable for Startek FM220U (Type C) Ivory</t>
  </si>
  <si>
    <t xml:space="preserve">B0BCKWZ884</t>
  </si>
  <si>
    <t xml:space="preserve">Caldipree Silicone Case Cover Compatible for 2022 Samsung Smart TV Remote QLED TV BN68-13897A TM2280E (2022-BLACK)</t>
  </si>
  <si>
    <t xml:space="preserve">B00GGGOYEK</t>
  </si>
  <si>
    <t xml:space="preserve">Storite USB 2.0 A to Mini 5 pin B Cable for External HDDS/Camera/Card Readers 35cm</t>
  </si>
  <si>
    <t xml:space="preserve">B07ZR4S1G4</t>
  </si>
  <si>
    <t xml:space="preserve">Universal Remote Control for All Sony TV for All LCD LED and Bravia TVs Remote</t>
  </si>
  <si>
    <t xml:space="preserve">B09C635BMM</t>
  </si>
  <si>
    <t xml:space="preserve">Cotbolt Silicone Case Cover Compatible for Samsung BN59-01312A QLED 8K 4K Smart TV Remote Shockproof Protective Remote Cover (Black)</t>
  </si>
  <si>
    <t xml:space="preserve">B00GG59HU2</t>
  </si>
  <si>
    <t xml:space="preserve">BlueRigger High Speed HDMI Cable with Ethernet - Supports 3D, 4K 60Hz and Audio Return - Latest Version (3 Feet / 0.9 Meter)</t>
  </si>
  <si>
    <t xml:space="preserve">B00RGLI0ZS</t>
  </si>
  <si>
    <t xml:space="preserve">Amkette 30 Pin to USB Charging &amp; Data Sync Cable for iPhone 3G/3GS/4/4s/iPad 1/2/3, iPod Nano 5th/6th Gen and iPod Touch 3rd/4th Gen -1.5m (Black)</t>
  </si>
  <si>
    <t xml:space="preserve">B09ZPJT8B2</t>
  </si>
  <si>
    <t xml:space="preserve">TCL 80 cm (32 inches) HD Ready Certified Android Smart LED TV 32S615 (Black)</t>
  </si>
  <si>
    <t xml:space="preserve">B07HZ2QCGR</t>
  </si>
  <si>
    <t xml:space="preserve">POPIO Type C Dash Charging USB Data Cable for OnePlus Devices</t>
  </si>
  <si>
    <t xml:space="preserve">B095244Q22</t>
  </si>
  <si>
    <t xml:space="preserve">MYVN LTG to USB for Fast Charging &amp; Data Sync USB Cable Compatible for iPhone 5/5s/6/6S/7/7+/8/8+/10/11, iPad Air/Mini, iPod and iOS Devices (1 M)</t>
  </si>
  <si>
    <t xml:space="preserve">B08CKW1KH9</t>
  </si>
  <si>
    <t xml:space="preserve">Tata Sky Universal Remote Compatible for SD/HD</t>
  </si>
  <si>
    <t xml:space="preserve">B0BLV1GNLN</t>
  </si>
  <si>
    <t xml:space="preserve">WZATCO Pixel | Portable LED Projector | Native 720p with Full HD 1080P Support | 2000 Lumens (200 ANSI) | 176" Large Screen | Projector for Home and Outdoor | Compatible with TV Stick, PC, PS4</t>
  </si>
  <si>
    <t xml:space="preserve">B08RHPDNVV</t>
  </si>
  <si>
    <t xml:space="preserve">7SEVEN® Compatible Tata Sky Remote Control Replacement of Original dth SD HD tata Play Set top Box Remote - IR Learning Universal Remote for Any Brand TV - Pairing Must</t>
  </si>
  <si>
    <t xml:space="preserve">B00NH13Q8W</t>
  </si>
  <si>
    <t xml:space="preserve">AmazonBasics USB 2.0 Extension Cable for Personal Computer, Printer, 2-Pack - A-Male to A-Female - 3.3 Feet (1 Meter, Black)</t>
  </si>
  <si>
    <t xml:space="preserve">B0B8SSZ76F</t>
  </si>
  <si>
    <t xml:space="preserve">Amazon Basics USB C to Lightning TPE MFi Certified Charging Cable (White, 1.2 meter)</t>
  </si>
  <si>
    <t xml:space="preserve">B0841KQR1Z</t>
  </si>
  <si>
    <t xml:space="preserve">Crypo™ Universal Remote Compatible with Tata Sky Universal HD &amp; SD Set top Box (Also Works with All TV)</t>
  </si>
  <si>
    <t xml:space="preserve">B0B467CCB9</t>
  </si>
  <si>
    <t xml:space="preserve">Karbonn 80 cm (32 Inches) Millennium Series HD Ready LED TV KJW32NSHDF (Phantom Black) with Bezel-Less Design</t>
  </si>
  <si>
    <t xml:space="preserve">B095JQVC7N</t>
  </si>
  <si>
    <t xml:space="preserve">OnePlus 138.7 cm (55 inches) U Series 4K LED Smart Android TV 55U1S (Black)</t>
  </si>
  <si>
    <t xml:space="preserve">B08PPHFXG3</t>
  </si>
  <si>
    <t xml:space="preserve">Posh 1.5 Meter High Speed Gold Plated HDMI Male to Female Extension Cable (Black)</t>
  </si>
  <si>
    <t xml:space="preserve">B06XR9PR5X</t>
  </si>
  <si>
    <t xml:space="preserve">Amazon Basics HDMI Coupler,Black</t>
  </si>
  <si>
    <t xml:space="preserve">B09JSW16QD</t>
  </si>
  <si>
    <t xml:space="preserve">boAt LTG 550v3 Lightning Apple MFi Certified Cable with Spaceship Grade Aluminium Housing,Stress Resistance, Rapid 2.4A Charging &amp; 480mbps Data Sync, 1m Length &amp; 10000+ Bends Lifespan(Mercurial Black)</t>
  </si>
  <si>
    <t xml:space="preserve">B07JH1CBGW</t>
  </si>
  <si>
    <t xml:space="preserve">Wayona Nylon Braided Usb Syncing And Charging Cable Sync And Charging Cable For Iphone, Ipad (3 Ft, Black) - Pack Of 2</t>
  </si>
  <si>
    <t xml:space="preserve">B09127FZCK</t>
  </si>
  <si>
    <t xml:space="preserve">Astigo Compatible Remote for Airtel Digital Set Top Box (Pairing Required with TV Remote)</t>
  </si>
  <si>
    <t xml:space="preserve">B083GQGT3Z</t>
  </si>
  <si>
    <t xml:space="preserve">Caprigo Heavy Duty TV Wall Mount Stand for 12 to 27 inches LED/LCD/Monitor Screen's, Full Motion Rotatable Universal TV &amp; Monitor Wall Mount Bracket with Swivel &amp; Tilt Adjustments (Single Arm - M416)</t>
  </si>
  <si>
    <t xml:space="preserve">B09Q8WQ5QJ</t>
  </si>
  <si>
    <t xml:space="preserve">Portronics Konnect L 60W PD Type C to Type C Mobile Charging Cable, 1.2M, Fast Data Sync, Tangle Resistant, TPE+Nylon Braided(Grey)</t>
  </si>
  <si>
    <t xml:space="preserve">B07YZG8PPY</t>
  </si>
  <si>
    <t xml:space="preserve">TATA SKY HD Connection with 1 month basic package and free installation</t>
  </si>
  <si>
    <t xml:space="preserve">B09H39KTTB</t>
  </si>
  <si>
    <t xml:space="preserve">Remote Compatible for Samsung LED/LCD Remote Control Works with Samsung LED/LCD TV by Trend Trail</t>
  </si>
  <si>
    <t xml:space="preserve">B08DCVRW98</t>
  </si>
  <si>
    <t xml:space="preserve">SoniVision SA-D10 SA-D100 SA-D40 Home Theater Systems Remote Compatible with Sony RM-ANU156</t>
  </si>
  <si>
    <t xml:space="preserve">B0718ZN31Q</t>
  </si>
  <si>
    <t xml:space="preserve">Rts™ High Speed 3D Full HD 1080p Support (10 Meters) HDMI Male to HDMI Male Cable TV Lead 1.4V for All Hdmi Devices- Black (10M - 30 FEET)</t>
  </si>
  <si>
    <t xml:space="preserve">B0162LYSFS</t>
  </si>
  <si>
    <t xml:space="preserve">boAt LTG 500 Apple MFI Certified for iPhone, iPad and iPod 2Mtr Data Cable(Metallic Silver)</t>
  </si>
  <si>
    <t xml:space="preserve">B07PFJ5VQD</t>
  </si>
  <si>
    <t xml:space="preserve">Agaro Blaze USBA to micro +Type C 2in1 Braided 1.2M Cable</t>
  </si>
  <si>
    <t xml:space="preserve">B01J8S6X2I</t>
  </si>
  <si>
    <t xml:space="preserve">AmazonBasics 6 Feet DisplayPort to DisplayPort Cable - (Not HDMI Cable) (Gold)</t>
  </si>
  <si>
    <t xml:space="preserve">B09MJ77786</t>
  </si>
  <si>
    <t xml:space="preserve">MI 108 cm (43 inches) 5X Series 4K Ultra HD LED Smart Android TV L43M6-ES (Grey)</t>
  </si>
  <si>
    <t xml:space="preserve">B09NNGHG22</t>
  </si>
  <si>
    <t xml:space="preserve">Sansui 140cm (55 inches) 4K Ultra HD Certified Android LED TV with Dolby Audio &amp; Dolby Vision JSW55ASUHD (Mystique Black)</t>
  </si>
  <si>
    <t xml:space="preserve">B07V5YF4ND</t>
  </si>
  <si>
    <t xml:space="preserve">LOHAYA LCD/LED Remote Compatible for Sony Bravia Smart LCD LED UHD OLED QLED 4K Ultra HD TV Remote Control with YouTube &amp; Netflix Function [ Compatible for Sony Tv Remote Control ]</t>
  </si>
  <si>
    <t xml:space="preserve">B0B65P827P</t>
  </si>
  <si>
    <t xml:space="preserve">Zebronics CU3100V Fast charging Type C cable with QC 18W support, 3A max capacity, 1 meter braided cable, Data transfer and Superior durability (Braided Black )</t>
  </si>
  <si>
    <t xml:space="preserve">B084MZYBTV</t>
  </si>
  <si>
    <t xml:space="preserve">Belkin USB C to USB-C Fast Charging Type C Cable, 60W PD, 3.3 feet (1 meter) for Laptop, Personal Computer, Tablet, Smartphone - White, USB-IF Certified</t>
  </si>
  <si>
    <t xml:space="preserve">B097ZQTDVZ</t>
  </si>
  <si>
    <t xml:space="preserve">7SEVEN® TCL Remote Control Smart TV RC802V Remote Compatible for TCL TV Remote Original 55EP680 40A325 49S6500 55P8S 55P8 50P8 65P8 40S6500 43S6500FS 49S6800FS 49S6800 49S6510FS(Without Voice Function/Google Assistant and Non-Bluetooth remote)</t>
  </si>
  <si>
    <t xml:space="preserve">B0B5F3YZY4</t>
  </si>
  <si>
    <t xml:space="preserve">Wayona 3in1 Nylon Braided 66W USB Fast Charging Cable with Type C, Lightening and Micro USB Port, Compatible with iPhone, iPad, Samsung Galaxy, OnePlus, Mi, Oppo, Vivo, iQOO, Xiaomi (1M, Black)</t>
  </si>
  <si>
    <t xml:space="preserve">B09G5TSGXV</t>
  </si>
  <si>
    <t xml:space="preserve">Hi-Mobiler iPhone Charger Lightning Cable,2 Pack Apple MFi Certified USB iPhone Fast Chargering Cord,Data Sync Transfer for 13/12/11 Pro Max Xs X XR 8 7 6 5 5s iPad iPod More Model Cell Phone Cables</t>
  </si>
  <si>
    <t xml:space="preserve">B006LW0WDQ</t>
  </si>
  <si>
    <t xml:space="preserve">Amazon Basics 16-Gauge Speaker Wire - 50 Feet</t>
  </si>
  <si>
    <t xml:space="preserve">B09YLX91QR</t>
  </si>
  <si>
    <t xml:space="preserve">Ambrane 60W / 3A Fast Charging Output Cable with Type-C to USB for Mobile, Neckband, True Wireless Earphone Charging, 480mbps Data Sync Speed, 1m Length (ACT - AZ10, White)</t>
  </si>
  <si>
    <t xml:space="preserve">B081FJWN52</t>
  </si>
  <si>
    <t xml:space="preserve">Wayona Usb Type C To Usb Nylon Braided Quick Charger Fast Charging Short Cable For Smartphone (Samsung Galaxy S21/S20/S10/S9/S9+/Note 9/S8/Note 8, Lg G7 G5 G6, Moto G6 G7) (0.25M,Grey)</t>
  </si>
  <si>
    <t xml:space="preserve">B0758F7KK7</t>
  </si>
  <si>
    <t xml:space="preserve">Caprigo Heavy Duty TV Wall Mount Bracket for 14 to 32 Inch LED/HD/Smart TV’s, Universal Fixed TV Wall Mount Stand (M452)</t>
  </si>
  <si>
    <t xml:space="preserve">B09L835C3V</t>
  </si>
  <si>
    <t xml:space="preserve">Smashtronics® - Case for Firetv Remote, Fire Stick Remote Cover Case, Silicone Cover for TV Firestick 4K/TV 2nd Gen(3rd Gen) Remote Control - Light Weight/Anti Slip/Shockproof (Black)</t>
  </si>
  <si>
    <t xml:space="preserve">B098TV3L96</t>
  </si>
  <si>
    <t xml:space="preserve">Electvision Remote Control for led Smart tv Compatible with VU Smart Led (Without Voice)</t>
  </si>
  <si>
    <t xml:space="preserve">B08NCKT9FG</t>
  </si>
  <si>
    <t xml:space="preserve">Boat A 350 Type C Cable 1.5m(Jet Black)</t>
  </si>
  <si>
    <t xml:space="preserve">B0B4T6MR8N</t>
  </si>
  <si>
    <t xml:space="preserve">pTron Solero M241 2.4A Micro USB Data &amp; Charging Cable, Made in India, 480Mbps Data Sync, Durable 1-Meter Long USB Cable for Micro USB Devices (White)</t>
  </si>
  <si>
    <t xml:space="preserve">B01GGKZ4NU</t>
  </si>
  <si>
    <t xml:space="preserve">AmazonBasics USB Type-C to USB Type-C 2.0 Cable for Charging Adapter, Smartphone - 9 Feet (2.7 Meters) - White</t>
  </si>
  <si>
    <t xml:space="preserve">B09BW2GP18</t>
  </si>
  <si>
    <t xml:space="preserve">Croma 3A Fast charge 1m Type-C to All Type-C Phones sync and charge cable, Made in India, 480Mbps Data transfer rate, Tested Durability with 8000+ bends (12 months warranty) - CRCMA0106sTC10, Black</t>
  </si>
  <si>
    <t xml:space="preserve">B09WN3SRC7</t>
  </si>
  <si>
    <t xml:space="preserve">Sony Bravia 164 cm (65 inches) 4K Ultra HD Smart LED Google TV KD-65X74K (Black)</t>
  </si>
  <si>
    <t xml:space="preserve">B09B125CFJ</t>
  </si>
  <si>
    <t xml:space="preserve">7SEVEN® Compatible for Mi tv Remote Control Original Suitable with Smart Android 4K LED Non Voice Command Xiaomi Redmi Remote of 4A Model 32 43 55 65 inches</t>
  </si>
  <si>
    <t xml:space="preserve">B09RQRZW2X</t>
  </si>
  <si>
    <t xml:space="preserve">7SEVEN® Compatible Vu Smart Tv Remote Control Suitable for Original 4K Android LED Ultra HD UHD Vu Tv Remote with Non Voice Feature without google assistant</t>
  </si>
  <si>
    <t xml:space="preserve">B07924P3C5</t>
  </si>
  <si>
    <t xml:space="preserve">Storite High Speed Micro USB 3.0 Cable A to Micro B for External &amp; Desktop Hard Drives 45cm</t>
  </si>
  <si>
    <t xml:space="preserve">B08N1WL9XW</t>
  </si>
  <si>
    <t xml:space="preserve">FLiX (Beetel) 3in1 (Type C|Micro|Iphone Lightening) Textured Pattern 3A Fast Charging Cable with QC &amp; PD Support for Type C,Micro USB &amp; Lightning Iphone Cable,Made in India,1.5 Meter Long Cable(T101)</t>
  </si>
  <si>
    <t xml:space="preserve">B07VVXJ2P5</t>
  </si>
  <si>
    <t xml:space="preserve">SVM Products Unbreakable Set Top Box Stand with Dual Remote Holder (Black)</t>
  </si>
  <si>
    <t xml:space="preserve">B0BC8BQ432</t>
  </si>
  <si>
    <t xml:space="preserve">VU 164 cm (65 inches) The GloLED Series 4K Smart LED Google TV 65GloLED (Grey)</t>
  </si>
  <si>
    <t xml:space="preserve">B06XFTHCNY</t>
  </si>
  <si>
    <t xml:space="preserve">CableCreation RCA to 3.5mm Male Audio Cable, 3.5mm to 2RCA Cable Male RCA Cable,Y Splitter Stereo Jack Cable for Home Theater,Subwoofer, Receiver, Speakers and More (3Feet/0.9Meter,Black)</t>
  </si>
  <si>
    <t xml:space="preserve">B08CT62BM1</t>
  </si>
  <si>
    <t xml:space="preserve">Wayona USB Type C Fast Charging Cable Charger Cord 3A QC 3.0 Data Cable Compatible with Samsung Galaxy S10e S10 S9 S8 S20 Plus, Note 10 9 8, M51 A40 A50 A70, Moto G7 G8 (1M, Grey)</t>
  </si>
  <si>
    <t xml:space="preserve">B07CRL2GY6</t>
  </si>
  <si>
    <t xml:space="preserve">boAt Rugged V3 Braided Micro USB Cable (Pearl White)</t>
  </si>
  <si>
    <t xml:space="preserve">B07DWFX9YS</t>
  </si>
  <si>
    <t xml:space="preserve">Amazon Basics USB A to Lightning PVC Molded Nylon MFi Certified Charging Cable (Black, 1.2 meter)</t>
  </si>
  <si>
    <t xml:space="preserve">B01D5H90L4</t>
  </si>
  <si>
    <t xml:space="preserve">AmazonBasics - High-Speed Male to Female HDMI Extension Cable - 6 Feet</t>
  </si>
  <si>
    <t xml:space="preserve">B07F1P8KNV</t>
  </si>
  <si>
    <t xml:space="preserve">Wayona Nylon Braided Usb Type C 3Ft 1M 3A Fast Charger Cable For Samsung Galaxy S9 S8 (Wc3Cb1, Black)</t>
  </si>
  <si>
    <t xml:space="preserve">B084N1BM9L</t>
  </si>
  <si>
    <t xml:space="preserve">Belkin Apple Certified Lightning to USB Charge and Sync Tough Braided Cable for iPhone, iPad, Air Pods, 3.3 feet (1 meters) – Black</t>
  </si>
  <si>
    <t xml:space="preserve">B09F6D21BY</t>
  </si>
  <si>
    <t xml:space="preserve">7SEVEN Compatible LG TV Remote Suitable for LG Non Magic Smart tv Remote Control (Mouse &amp; Voice Non-Support) MR20GA Prime Video and Netflix Hotkeys</t>
  </si>
  <si>
    <t xml:space="preserve">B09LQQYNZQ</t>
  </si>
  <si>
    <t xml:space="preserve">Realme Smart TV Stick 4K</t>
  </si>
  <si>
    <t xml:space="preserve">B0BC9BW512</t>
  </si>
  <si>
    <t xml:space="preserve">Acer 100 cm (40 inches) P Series Full HD Android Smart LED TV AR40AR2841FDFL (Black)</t>
  </si>
  <si>
    <t xml:space="preserve">B0B61HYR92</t>
  </si>
  <si>
    <t xml:space="preserve">Lapster usb 2.0 mantra cable, mantra mfs 100 data cable (black)</t>
  </si>
  <si>
    <t xml:space="preserve">B075ZTJ9XR</t>
  </si>
  <si>
    <t xml:space="preserve">AmazonBasics High-Speed Braided HDMI Cable - 3 Feet - Supports Ethernet, 3D, 4K and Audio Return (Black)</t>
  </si>
  <si>
    <t xml:space="preserve">B0978V2CP6</t>
  </si>
  <si>
    <t xml:space="preserve">Cubetek 3 in 1 LCD Display V5.0 Bluetooth Transmitter Receiver, Bypass Audio Adapter with Aux, Optical, Dual Link Support for TV, Home Stereo, PC, Headphones, Speakers, Model: CB-BT27</t>
  </si>
  <si>
    <t xml:space="preserve">B09LRZYBH1</t>
  </si>
  <si>
    <t xml:space="preserve">KRISONS Thunder Speaker, Multimedia Home Theatre, Floor Standing Speaker, LED Display with Bluetooth, FM, USB, Micro SD Card, AUX Connectivity</t>
  </si>
  <si>
    <t xml:space="preserve">B0B997FBZT</t>
  </si>
  <si>
    <t xml:space="preserve">Acer 139 cm (55 inches) H Series 4K Ultra HD Android Smart LED TV AR55AR2851UDPRO (Black)</t>
  </si>
  <si>
    <t xml:space="preserve">B098LCVYPW</t>
  </si>
  <si>
    <t xml:space="preserve">Dealfreez Case Compatible for Fire TV Stick 4K All Alexa Voice Remote Shockproof Silicone Anti-Lost Cover with Loop (C-Black)</t>
  </si>
  <si>
    <t xml:space="preserve">B09HV71RL1</t>
  </si>
  <si>
    <t xml:space="preserve">Wayona Type C to Lightning MFI Certified 20W Fast charging Nylon Braided USB C Cable for iPhone 14 Pro, 14 Pro Max, 14, 14 Plus, 13, 13 Pro, 13 Pro Max, 13 Mini, 12, 12 Pro, 11, 11 Pro Max, iPhone 12 Mini (2M, Black)</t>
  </si>
  <si>
    <t xml:space="preserve">B08PZ6HZLT</t>
  </si>
  <si>
    <t xml:space="preserve">VW 80 cm (32 inches) HD Ready Android Smart LED TV VW32PRO (Black)</t>
  </si>
  <si>
    <t xml:space="preserve">B075TJHWVC</t>
  </si>
  <si>
    <t xml:space="preserve">Airtel Digital TV HD Set Top Box with 1 Month Basic Pack with Recording + Free Standard Installation</t>
  </si>
  <si>
    <t xml:space="preserve">B09LV13JFB</t>
  </si>
  <si>
    <t xml:space="preserve">LOHAYA Voice Assistant Remote Compatible for Airtel Xstream Set-Top Box Remote Control with Netflix Function (Black) (Non - Voice)</t>
  </si>
  <si>
    <t xml:space="preserve">B092BL5DCX</t>
  </si>
  <si>
    <t xml:space="preserve">Samsung 138 cm (55 inches) Crystal 4K Series Ultra HD Smart LED TV UA55AUE60AKLXL (Black)</t>
  </si>
  <si>
    <t xml:space="preserve">B09VH568H7</t>
  </si>
  <si>
    <t xml:space="preserve">Amazon Brand - Solimo 3A Fast Charging Tough Type C USB Data Cable  – 1 Meter</t>
  </si>
  <si>
    <t xml:space="preserve">B09HQSV46W</t>
  </si>
  <si>
    <t xml:space="preserve">Mi 100 cm (40 inches) Horizon Edition Full HD Android LED TV 4A | L40M6-EI (Black)</t>
  </si>
  <si>
    <t xml:space="preserve">B08TZD7FQN</t>
  </si>
  <si>
    <t xml:space="preserve">Astigo Compatible Remote Control for Mi Smart LED 4A (43"/32")</t>
  </si>
  <si>
    <t xml:space="preserve">B0B21XL94T</t>
  </si>
  <si>
    <t xml:space="preserve">Toshiba 108 cm (43 inches) V Series Full HD Smart Android LED TV 43V35KP (Silver)</t>
  </si>
  <si>
    <t xml:space="preserve">B09PTT8DZF</t>
  </si>
  <si>
    <t xml:space="preserve">Lenovo USB A to Type-C Tangle-free  Aramid fiber braided 1.2m cable with 4A Fast charging &amp; 480 MBPS data transmission, certified 10000+ bend lifespan, Metallic Grey</t>
  </si>
  <si>
    <t xml:space="preserve">B0B94JPY2N</t>
  </si>
  <si>
    <t xml:space="preserve">Amazon Brand - Solimo 65W Fast Charging Braided Type C to C Data Cable | Suitable For All Supported Mobile Phones (1 Meter, Black)</t>
  </si>
  <si>
    <t xml:space="preserve">B0B3XXSB1K</t>
  </si>
  <si>
    <t xml:space="preserve">LG 139 cm (55 inches) 4K Ultra HD Smart LED TV 55UQ7500PSF (Ceramic Black)</t>
  </si>
  <si>
    <t xml:space="preserve">B08RZ12GKR</t>
  </si>
  <si>
    <t xml:space="preserve">Tata Sky Digital TV HD Setup Box Remote</t>
  </si>
  <si>
    <t xml:space="preserve">B0B4T8RSJ1</t>
  </si>
  <si>
    <t xml:space="preserve">pTron Solero T241 2.4A Type-C Data &amp; Charging USB Cable, Made in India, 480Mbps Data Sync, Durable 1-Meter Long USB Cable for Smartphone, Type-C USB Devices (White)</t>
  </si>
  <si>
    <t xml:space="preserve">B0B7B9V9QP</t>
  </si>
  <si>
    <t xml:space="preserve">VU 108 cm (43 inches) Premium Series Full HD Smart LED TV 43GA (Black)</t>
  </si>
  <si>
    <t xml:space="preserve">B08XXVXP3J</t>
  </si>
  <si>
    <t xml:space="preserve">Storite Super Speed USB 3.0 Male to Male Cable for Hard Drive Enclosures, Laptop Cooling Pad, DVD Players(60cm,Black)</t>
  </si>
  <si>
    <t xml:space="preserve">B06XGWRKYT</t>
  </si>
  <si>
    <t xml:space="preserve">Kodak 80 cm (32 Inches) HD Ready LED TV Kodak 32HDX900S (Black)</t>
  </si>
  <si>
    <t xml:space="preserve">B07CWDX49D</t>
  </si>
  <si>
    <t xml:space="preserve">AmazonBasics Double Braided Nylon USB Type-C to Type-C 2.0 Cable, Charging Adapter, Smartphone 6 feet, Dark Grey</t>
  </si>
  <si>
    <t xml:space="preserve">B09TY4MSH3</t>
  </si>
  <si>
    <t xml:space="preserve">B07RY2X9MP</t>
  </si>
  <si>
    <t xml:space="preserve">AmazonBasics 10.2 Gbps High-Speed 4K HDMI Cable with Braided Cord (10-Foot, Dark Grey)</t>
  </si>
  <si>
    <t xml:space="preserve">B0B2C5MJN6</t>
  </si>
  <si>
    <t xml:space="preserve">Hisense 126 cm (50 inches) Bezelless Series 4K Ultra HD Smart LED Google TV 50A6H (Black)</t>
  </si>
  <si>
    <t xml:space="preserve">B0BBMGLQDW</t>
  </si>
  <si>
    <r>
      <rPr>
        <sz val="10"/>
        <rFont val="Arial"/>
        <family val="0"/>
        <charset val="1"/>
      </rPr>
      <t xml:space="preserve">Tuarso 8K HDMI 2.1 Cable 48Gbps , 1.5 Meter High-Speed Braided HDMI Cable ( 8K@60HZ</t>
    </r>
    <r>
      <rPr>
        <sz val="10"/>
        <rFont val="Noto Sans CJK SC"/>
        <family val="2"/>
      </rPr>
      <t xml:space="preserve">、</t>
    </r>
    <r>
      <rPr>
        <sz val="10"/>
        <rFont val="Arial"/>
        <family val="0"/>
        <charset val="1"/>
      </rPr>
      <t xml:space="preserve">4K@120HZ</t>
    </r>
    <r>
      <rPr>
        <sz val="10"/>
        <rFont val="Noto Sans CJK SC"/>
        <family val="2"/>
      </rPr>
      <t xml:space="preserve">、</t>
    </r>
    <r>
      <rPr>
        <sz val="10"/>
        <rFont val="Arial"/>
        <family val="0"/>
        <charset val="1"/>
      </rPr>
      <t xml:space="preserve">2K@240HZ ) HDMI 2.1 Cable Compatible with Monitors , Television , Laptops , Projectors , Game Consoles and more with HDMI Ports Device</t>
    </r>
  </si>
  <si>
    <t xml:space="preserve">B01LONQBDG</t>
  </si>
  <si>
    <t xml:space="preserve">AmazonBasics USB Type-C to Micro-B 2.0 Cable - 6 Inches (15.2 Centimeters) - White</t>
  </si>
  <si>
    <t xml:space="preserve">B08XXF5V6G</t>
  </si>
  <si>
    <t xml:space="preserve">Kodak 139 cm (55 inches) 4K Ultra HD Smart LED TV 55CA0909 (Black)</t>
  </si>
  <si>
    <t xml:space="preserve">B09HK9JH4F</t>
  </si>
  <si>
    <t xml:space="preserve">B09MMD1FDN</t>
  </si>
  <si>
    <t xml:space="preserve">7SEVEN® Suitable Sony Tv Remote Original Bravia for Smart Android Television Compatible for Any Model of LCD LED OLED UHD 4K Universal Sony Remote Control</t>
  </si>
  <si>
    <t xml:space="preserve">B09HN7LD5L</t>
  </si>
  <si>
    <t xml:space="preserve">PROLEGEND® PL-T002 Universal TV Stand Table Top for Most 22 to 65 inch LCD Flat Screen TV, VESA up to 800 by 400mm</t>
  </si>
  <si>
    <t xml:space="preserve">B0BNDD9TN6</t>
  </si>
  <si>
    <t xml:space="preserve">WANBO X1 Pro (Upgraded) | Native 1080P Full HD | Android 9 | Projector for Home | LED Cinema | 350ANSI | 3900 lumens | WiFi Bluetooth | HDMI ARC | Dolby DTS | 4D Keystone Correction (Global Version)</t>
  </si>
  <si>
    <t xml:space="preserve">B0941392C8</t>
  </si>
  <si>
    <t xml:space="preserve">Lava Charging Adapter Elements D3 2A Fast Charging Speed Usb Type C Data Cable, White</t>
  </si>
  <si>
    <t xml:space="preserve">B01M5967SY</t>
  </si>
  <si>
    <t xml:space="preserve">TIZUM High Speed HDMI Cable Aura -Gold Plated-High Speed Data 10.2Gbps, 3D, 4K, HD 1080P (10 Ft/ 3 M)</t>
  </si>
  <si>
    <t xml:space="preserve">B016MDK4F4</t>
  </si>
  <si>
    <t xml:space="preserve">Technotech High Speed HDMI Cable 5 Meter V1.4 - Supports Full HD 1080p (Color May Vary)</t>
  </si>
  <si>
    <t xml:space="preserve">B08G43CCLC</t>
  </si>
  <si>
    <t xml:space="preserve">NK STAR 950 Mbps USB WiFi Adapter Wireless Network Receiver Dongle for Desktop Laptop, (Support- Windows XP/7/8/10 &amp; MAC OS) NOt Support to DVR and HDTV</t>
  </si>
  <si>
    <t xml:space="preserve">B0B61GCHC1</t>
  </si>
  <si>
    <t xml:space="preserve">LS LAPSTER Quality Assured USB 2.0 morpho cable, morpho device cable for Mso 1300 E3/E2/E Biometric Finger Print Scanner morpho USB cable (Black)</t>
  </si>
  <si>
    <t xml:space="preserve">B07RX14W1Q</t>
  </si>
  <si>
    <t xml:space="preserve">Amazon Basics 10.2 Gbps High-Speed 4K HDMI Cable with Braided Cord, 1.8 Meter, Dark Grey</t>
  </si>
  <si>
    <t xml:space="preserve">B09PLD9TCD</t>
  </si>
  <si>
    <t xml:space="preserve">Kodak 126 cm (50 inches) Bezel-Less Design Series 4K Ultra HD Smart Android LED TV 50UHDX7XPROBL (Black)</t>
  </si>
  <si>
    <t xml:space="preserve">B0B8ZKWGKD</t>
  </si>
  <si>
    <t xml:space="preserve">ZORBES® Wall Adapter Holder for Alexa Echo Dot 4th Generation,A Space-Saving Solution with Cord Management for Your Smart Home Speakers -White (Holder Only)</t>
  </si>
  <si>
    <t xml:space="preserve">B09NNJ9WYM</t>
  </si>
  <si>
    <t xml:space="preserve">Sansui 80cm (32 inches) HD Ready Smart LED TV JSY32SKHD (BLACK) With Bezel-less Design</t>
  </si>
  <si>
    <t xml:space="preserve">B08H5L8V1L</t>
  </si>
  <si>
    <t xml:space="preserve">Synqe USB Type C Fast Charging Cable 2M Charger Cord Data Cable Compatible with Samsung Galaxy M51,Galaxy M31S, S10e S10 S9 S20 Plus, Note10 9 8,M40 A50 A70, Redmi Note 9, Moto G7, Poco F1 (2M, Grey)</t>
  </si>
  <si>
    <t xml:space="preserve">B0B8CXTTG3</t>
  </si>
  <si>
    <t xml:space="preserve">MI 80 cm (32 inches) HD Ready Smart Android LED TV 5A Pro | L32M7-EAIN (Black)</t>
  </si>
  <si>
    <t xml:space="preserve">B09HCH3JZG</t>
  </si>
  <si>
    <t xml:space="preserve">Bestor ® 8K Hdmi 2.1 Cable 48Gbps 9.80Ft/Ultra High Speed Hdmi Braided Cord For Roku Tv/Ps5/Hdtv/Blu-Ray Projector, Laptop, Television, Personal Computer, Xbox, Ps4, Ps5, Ps4 Pro (1 M, Grey)</t>
  </si>
  <si>
    <t xml:space="preserve">B097JVLW3L</t>
  </si>
  <si>
    <t xml:space="preserve">Irusu Play VR Plus Virtual Reality Headset with Headphones for Gaming (Black)</t>
  </si>
  <si>
    <t xml:space="preserve">B09SB6SJB4</t>
  </si>
  <si>
    <t xml:space="preserve">Amazon Brand - Solimo Fast Charging Braided Type C Data Cable Seam, Suitable For All Supported Mobile Phones (1 Meter, Black)</t>
  </si>
  <si>
    <t xml:space="preserve">B08NW8GHCJ</t>
  </si>
  <si>
    <t xml:space="preserve">Synqe USB C to USB C 60W Nylon Braided Fast Charging Type C to Type C Cable Compatible with Samsung Galaxy Note 20/Ultra, S20 S22 S21 S20 FE A73 A53 A33 (2M, Black)</t>
  </si>
  <si>
    <t xml:space="preserve">B09YHLPQYT</t>
  </si>
  <si>
    <t xml:space="preserve">Shopoflux Silicone Remote Cover for Mi Smart TV and Mi TV Stick/MI Box S / 3S / MI 4X / 4A Smart LED TV (Black)</t>
  </si>
  <si>
    <t xml:space="preserve">B08G1RW2Q3</t>
  </si>
  <si>
    <t xml:space="preserve">EYNK Extra Long Micro USB Fast Charging USB Cable | Micro USB Data Cable | Quick Fast Charging Cable | Charger Sync Cable | High Speed Transfer Android Smartphones V8 Cable (2.4 Amp, 3m,) (White)</t>
  </si>
  <si>
    <t xml:space="preserve">B08YXJJW8H</t>
  </si>
  <si>
    <t xml:space="preserve">LUNAGARIYA®, Protective Case Compatible with JIO Settop Box Remote Control,PU Leather Cover Holder (Before Placing Order,Please Compare The Dimensions of The Product with Your Remote)</t>
  </si>
  <si>
    <t xml:space="preserve">B09P8M18QM</t>
  </si>
  <si>
    <t xml:space="preserve">7SEVEN® Compatible with Fire Tv Stick Remote with Voice Command Feature Suitable for Second Generation Amazon Fire Tv Stick Remote Only - Pairing Must</t>
  </si>
  <si>
    <t xml:space="preserve">B08BG4M4N7</t>
  </si>
  <si>
    <t xml:space="preserve">PRUSHTI COVER AND BAGS, Protective Case for Airtel Xstream settop Box Remote Remote Control Pouch Cover Holder PU Leather Cover Holder(only Cover for Selling Purpose)</t>
  </si>
  <si>
    <t xml:space="preserve">B07VJ9ZTXS</t>
  </si>
  <si>
    <t xml:space="preserve">Aine HDMI Male to VGA Female Video Converter Adapter Cable (Black)</t>
  </si>
  <si>
    <t xml:space="preserve">B084872DQY</t>
  </si>
  <si>
    <t xml:space="preserve">Mi 80 cm (32 inches) HD Ready Android Smart LED TV 4A PRO | L32M5-AL (Black)</t>
  </si>
  <si>
    <t xml:space="preserve">B00GGGOYEU</t>
  </si>
  <si>
    <t xml:space="preserve">Storite USB 2.0 A to Mini 5 pin B Cable for External HDDS/Camera/Card Readers (150cm - 1.5M)</t>
  </si>
  <si>
    <t xml:space="preserve">B08FD2VSD9</t>
  </si>
  <si>
    <t xml:space="preserve">TCL 108 cm (43 inches) 4K Ultra HD Certified Android Smart LED TV 43P615 (Black)</t>
  </si>
  <si>
    <t xml:space="preserve">B0BQRJ3C47</t>
  </si>
  <si>
    <t xml:space="preserve">REDTECH USB-C to Lightning Cable 3.3FT, [Apple MFi Certified] Lightning to Type C Fast Charging Cord Compatible with iPhone 14/13/13 pro/Max/12/11/X/XS/XR/8, Supports Power Delivery - White</t>
  </si>
  <si>
    <t xml:space="preserve">B095JPKPH3</t>
  </si>
  <si>
    <t xml:space="preserve">OnePlus 163.8 cm (65 inches) U Series 4K LED Smart Android TV 65U1S (Black)</t>
  </si>
  <si>
    <t xml:space="preserve">B087JWLZ2K</t>
  </si>
  <si>
    <t xml:space="preserve">AmazonBasics 108 cm (43 inches) 4K Ultra HD Smart LED Fire TV AB43U20PS (Black)</t>
  </si>
  <si>
    <t xml:space="preserve">B09DSXK8JX</t>
  </si>
  <si>
    <t xml:space="preserve">Kodak 80 cm (32 inches) HD Ready Certified Android Smart LED TV 32HDX7XPROBL (Black)</t>
  </si>
  <si>
    <t xml:space="preserve">B08V9C4B1J</t>
  </si>
  <si>
    <t xml:space="preserve">Synqe Type C to Type C Short Fast Charging 60W Cable Compatible with Samsung Galaxy Z Fold3 5G, Z Flip3 5G, S22 5G, S22 Ultra, S21, S20, S20FE, A52, A73, A53 (0.25M, Black)</t>
  </si>
  <si>
    <t xml:space="preserve">B08PKBMJKS</t>
  </si>
  <si>
    <t xml:space="preserve">Airtel DigitalTV HD Setup Box Remote</t>
  </si>
  <si>
    <t xml:space="preserve">B0B8VQ7KDS</t>
  </si>
  <si>
    <t xml:space="preserve">Airtel Digital TV HD Set Top Box with FTA Pack | Unlimited Entertainment + Recording Feature + Free Standard Installation (6 Months Pack)</t>
  </si>
  <si>
    <t xml:space="preserve">B086JTMRYL</t>
  </si>
  <si>
    <t xml:space="preserve">ESR USB C to Lightning Cable, 10 ft (3 m), MFi-Certified, Braided Nylon Power Delivery Fast Charging for iPhone 14/14 Plus/14 Pro/14 Pro Max, iPhone 13/12/11/X/8 Series, Use with Type-C Chargers, Black</t>
  </si>
  <si>
    <t xml:space="preserve">B09RWQ7YR6</t>
  </si>
  <si>
    <t xml:space="preserve">MI 138.8 cm (55 inches) 5X Series 4K Ultra HD LED Smart Android TV L55M6-ES (Grey)</t>
  </si>
  <si>
    <t xml:space="preserve">B00OFM6PEO</t>
  </si>
  <si>
    <t xml:space="preserve">Storite USB Extension Cable USB 3.0 Male to Female Extension Cable High Speed 5GBps Extension Cable Data Transfer for Keyboard, Mouse, Flash Drive, Hard Drive, Printer and More- 1.5M - Blue</t>
  </si>
  <si>
    <t xml:space="preserve">B0BF57RN3K</t>
  </si>
  <si>
    <t xml:space="preserve">Fire-Boltt Ninja Call Pro Plus 1.83" Smart Watch with Bluetooth Calling, AI Voice Assistance, 100 Sports Modes IP67 Rating, 240*280 Pixel High Resolution</t>
  </si>
  <si>
    <t xml:space="preserve">Wearable Technology</t>
  </si>
  <si>
    <t xml:space="preserve">B0B3RRWSF6</t>
  </si>
  <si>
    <t xml:space="preserve">Fire-Boltt Phoenix Smart Watch with Bluetooth Calling 1.3",120+ Sports Modes, 240*240 PX High Res with SpO2, Heart Rate Monitoring &amp; IP67 Rating</t>
  </si>
  <si>
    <t xml:space="preserve">B0B5B6PQCT</t>
  </si>
  <si>
    <t xml:space="preserve">boAt Wave Call Smart Watch, Smart Talk with Advanced Dedicated Bluetooth Calling Chip, 1.69” HD Display with 550 NITS &amp; 70% Color Gamut, 150+ Watch Faces, Multi-Sport Modes,HR,SpO2, IP68(Active Black)</t>
  </si>
  <si>
    <t xml:space="preserve">B08HV83HL3</t>
  </si>
  <si>
    <t xml:space="preserve">MI Power Bank 3i 20000mAh Lithium Polymer 18W Fast Power Delivery Charging | Input- Type C | Micro USB| Triple Output | Sandstone Black</t>
  </si>
  <si>
    <t xml:space="preserve">Mobiles &amp; Accessories</t>
  </si>
  <si>
    <t xml:space="preserve">B0BBN4DZBD</t>
  </si>
  <si>
    <t xml:space="preserve">Redmi A1 (Light Blue, 2GB RAM, 32GB Storage) | Segment Best AI Dual Cam | 5000mAh Battery | Leather Texture Design | Android 12</t>
  </si>
  <si>
    <t xml:space="preserve">B0B3CPQ5PF</t>
  </si>
  <si>
    <t xml:space="preserve">OnePlus Nord 2T 5G (Jade Fog, 8GB RAM, 128GB Storage)</t>
  </si>
  <si>
    <t xml:space="preserve">B0B3CQBRB4</t>
  </si>
  <si>
    <t xml:space="preserve">OnePlus Nord 2T 5G (Gray Shadow, 8GB RAM, 128GB Storage)</t>
  </si>
  <si>
    <t xml:space="preserve">B0BBN56J5H</t>
  </si>
  <si>
    <t xml:space="preserve">Redmi A1 (Black, 2GB RAM, 32GB Storage) | Segment Best AI Dual Cam | 5000mAh Battery | Leather Texture Design | Android 12</t>
  </si>
  <si>
    <t xml:space="preserve">B0BBN3WF7V</t>
  </si>
  <si>
    <t xml:space="preserve">Redmi A1 (Light Green, 2GB RAM 32GB ROM) | Segment Best AI Dual Cam | 5000mAh Battery | Leather Texture Design | Android 12</t>
  </si>
  <si>
    <t xml:space="preserve">B0BDRVFDKP</t>
  </si>
  <si>
    <t xml:space="preserve">SanDisk Ultra® microSDXC™ UHS-I Card, 64GB, 140MB/s R, 10 Y Warranty, for Smartphones</t>
  </si>
  <si>
    <t xml:space="preserve">Accessories</t>
  </si>
  <si>
    <t xml:space="preserve">B0B5LVS732</t>
  </si>
  <si>
    <t xml:space="preserve">Noise Pulse Go Buzz Smart Watch Bluetooth Calling with 1.69" Display, 550 NITS, 150+ Cloud Watch Face, SPo2, Heart Rate Tracking, 100 Sports Mode with Auto Detection, Longer Battery (Jet Black)</t>
  </si>
  <si>
    <t xml:space="preserve">B09V2Q4QVQ</t>
  </si>
  <si>
    <t xml:space="preserve">Nokia 105 Single SIM, Keypad Mobile Phone with Wireless FM Radio | Charcoal</t>
  </si>
  <si>
    <t xml:space="preserve">B09V12K8NT</t>
  </si>
  <si>
    <t xml:space="preserve">boAt Wave Lite Smartwatch with 1.69" HD Display, Sleek Metal Body, HR &amp; SpO2 Level Monitor, 140+ Watch Faces, Activity Tracker, Multiple Sports Modes, IP68 &amp; 7 Days Battery Life(Active Black)</t>
  </si>
  <si>
    <t xml:space="preserve">B01DEWVZ2C</t>
  </si>
  <si>
    <t xml:space="preserve">JBL C100SI Wired In Ear Headphones with Mic, JBL Pure Bass Sound, One Button Multi-function Remote, Angled Buds for Comfort fit (Black)</t>
  </si>
  <si>
    <t xml:space="preserve">Headphones, Earbuds &amp; Accessories</t>
  </si>
  <si>
    <t xml:space="preserve">B0BMGB3CH9</t>
  </si>
  <si>
    <t xml:space="preserve">Samsung Galaxy M04 Dark Blue, 4GB RAM, 64GB Storage | Upto 8GB RAM with RAM Plus | MediaTek Helio P35 | 5000 mAh Battery</t>
  </si>
  <si>
    <t xml:space="preserve">B08D77XZX5</t>
  </si>
  <si>
    <t xml:space="preserve">PTron Tangentbeat in-Ear Bluetooth 5.0 Wireless Headphones with Mic, Enhanced Bass, 10mm Drivers, Clear Calls, Snug-Fit, Fast Charging, Magnetic Buds, Voice Assistant &amp; IPX4 Wireless Neckband (Black)</t>
  </si>
  <si>
    <t xml:space="preserve">B09XB8GFBQ</t>
  </si>
  <si>
    <t xml:space="preserve">Redmi 10A (Charcoal Black, 4GB RAM, 64GB Storage) | 2 Ghz Octa Core Helio G25 | 5000 mAh Battery | Finger Print Sensor | Upto 5GB RAM with RAM Booster</t>
  </si>
  <si>
    <t xml:space="preserve">B07WG8PDCW</t>
  </si>
  <si>
    <t xml:space="preserve">pTron Bullet Pro 36W PD Quick Charger, 3 Port Fast Car Charger Adapter - Compatible with All Smartphones &amp; Tablets (Black)</t>
  </si>
  <si>
    <t xml:space="preserve">B07GPXXNNG</t>
  </si>
  <si>
    <t xml:space="preserve">boAt Bassheads 100 in Ear Wired Earphones with Mic(Taffy Pink)</t>
  </si>
  <si>
    <t xml:space="preserve">B0BDYVC5TD</t>
  </si>
  <si>
    <t xml:space="preserve">SanDisk Ultra® microSDXC™ UHS-I Card, 128GB, 140MB/s R, 10 Y Warranty, for Smartphones</t>
  </si>
  <si>
    <t xml:space="preserve">B0BMGB2TPR</t>
  </si>
  <si>
    <t xml:space="preserve">Samsung Galaxy M04 Light Green, 4GB RAM, 64GB Storage | Upto 8GB RAM with RAM Plus | MediaTek Helio P35 | 5000 mAh Battery</t>
  </si>
  <si>
    <t xml:space="preserve">B08MC57J31</t>
  </si>
  <si>
    <t xml:space="preserve">MI 10000mAh Lithium Ion, Lithium Polymer Power Bank Pocket Pro with 22.5 Watt Fast Charging, Dual Input Ports(Micro-USB and Type C), Triple Output Ports, (Black)</t>
  </si>
  <si>
    <t xml:space="preserve">B08HVL8QN3</t>
  </si>
  <si>
    <t xml:space="preserve">Mi 10000mAH Li-Polymer, Micro-USB and Type C Input Port, Power Bank 3i with 18W Fast Charging (Midnight Black)</t>
  </si>
  <si>
    <t xml:space="preserve">B0746JGVDS</t>
  </si>
  <si>
    <t xml:space="preserve">ELV Car Mount Adjustable Car Phone Holder Universal Long Arm, Windshield for Smartphones - Black</t>
  </si>
  <si>
    <t xml:space="preserve">B08VFF6JQ8</t>
  </si>
  <si>
    <t xml:space="preserve">Samsung 25W USB Travel Adapter for Cellular Phones - White</t>
  </si>
  <si>
    <t xml:space="preserve">B09NVPSCQT</t>
  </si>
  <si>
    <t xml:space="preserve">Noise ColorFit Pulse Grand Smart Watch with 1.69"(4.29cm) HD Display, 60 Sports Modes, 150 Watch Faces, Fast Charge, Spo2, Stress, Sleep, Heart Rate Monitoring &amp; IP68 Waterproof (Jet Black)</t>
  </si>
  <si>
    <t xml:space="preserve">B09YV4RG4D</t>
  </si>
  <si>
    <t xml:space="preserve">Fire-Boltt Ninja 3 Smartwatch Full Touch 1.69 &amp; 60 Sports Modes with IP68, Sp02 Tracking, Over 100 Cloud based watch faces - Black</t>
  </si>
  <si>
    <t xml:space="preserve">B09TWHTBKQ</t>
  </si>
  <si>
    <t xml:space="preserve">Samsung Galaxy M33 5G (Mystique Green, 8GB, 128GB Storage) | 6000mAh Battery | Upto 16GB RAM with RAM Plus | Travel Adapter to be Purchased Separately</t>
  </si>
  <si>
    <t xml:space="preserve">B08L5HMJVW</t>
  </si>
  <si>
    <t xml:space="preserve">SanDisk Ultra microSD UHS-I Card 32GB, 120MB/s R</t>
  </si>
  <si>
    <t xml:space="preserve">B0B4F2XCK3</t>
  </si>
  <si>
    <t xml:space="preserve">Samsung Galaxy M13 (Aqua Green, 6GB, 128GB Storage) | 6000mAh Battery | Upto 12GB RAM with RAM Plus</t>
  </si>
  <si>
    <t xml:space="preserve">B0BF54972T</t>
  </si>
  <si>
    <t xml:space="preserve">B09YV4MW2T</t>
  </si>
  <si>
    <t xml:space="preserve">Fire-Boltt India's No 1 Smartwatch Brand Talk 2 Bluetooth Calling Smartwatch with Dual Button, Hands On Voice Assistance, 60 Sports Modes, in Built Mic &amp; Speaker with IP68 Rating</t>
  </si>
  <si>
    <t xml:space="preserve">B09TWH8YHM</t>
  </si>
  <si>
    <t xml:space="preserve">Samsung Galaxy M33 5G (Emerald Brown, 6GB, 128GB Storage) | 6000mAh Battery | Upto 12GB RAM with RAM Plus | Travel Adapter to be Purchased Separately</t>
  </si>
  <si>
    <t xml:space="preserve">B07WGMMQGP</t>
  </si>
  <si>
    <t xml:space="preserve">iQOO vivo Z6 5G (Chromatic Blue, 6GB RAM, 128GB Storage) | Snapdragon 695-6nm Processor | 120Hz FHD+ Display | 5000mAh Battery</t>
  </si>
  <si>
    <t xml:space="preserve">B0BF563HB4</t>
  </si>
  <si>
    <t xml:space="preserve">B09GFPVD9Y</t>
  </si>
  <si>
    <t xml:space="preserve">Redmi 9 Activ (Carbon Black, 4GB RAM, 64GB Storage) | Octa-core Helio G35 | 5000 mAh Battery</t>
  </si>
  <si>
    <t xml:space="preserve">B09GFLXVH9</t>
  </si>
  <si>
    <t xml:space="preserve">Redmi 9A Sport (Coral Green, 2GB RAM, 32GB Storage) | 2GHz Octa-core Helio G25 Processor | 5000 mAh Battery</t>
  </si>
  <si>
    <t xml:space="preserve">B0BF4YBLPX</t>
  </si>
  <si>
    <t xml:space="preserve">B09XB7DPW1</t>
  </si>
  <si>
    <t xml:space="preserve">Redmi 10A (Sea Blue, 4GB RAM, 64GB Storage) | 2 Ghz Octa Core Helio G25 | 5000 mAh Battery | Finger Print Sensor | Upto 5GB RAM with RAM Booster</t>
  </si>
  <si>
    <t xml:space="preserve">B07PFJ5W31</t>
  </si>
  <si>
    <t xml:space="preserve">AGARO Blaze USB 3.0 to USB Type C OTG Adapter</t>
  </si>
  <si>
    <t xml:space="preserve">B0B3N7LR6K</t>
  </si>
  <si>
    <t xml:space="preserve">Fire-Boltt Visionary 1.78" AMOLED Bluetooth Calling Smartwatch with 368*448 Pixel Resolution 100+ Sports Mode, TWS Connection, Voice Assistance, SPO2 &amp; Heart Rate Monitoring</t>
  </si>
  <si>
    <t xml:space="preserve">B09ZQK9X8G</t>
  </si>
  <si>
    <t xml:space="preserve">Noise ColorFit Pro 4 Advanced Bluetooth Calling Smart Watch with 1.72" TruView Display, Fully-Functional Digital Crown, 311 PPI, 60Hz Refresh Rate, 500 NITS Brightness (Charcoal Black)</t>
  </si>
  <si>
    <t xml:space="preserve">B07WJV6P1R</t>
  </si>
  <si>
    <t xml:space="preserve">iQOO Z6 Lite 5G by vivo (Stellar Green, 6GB RAM, 128GB Storage) | World's First Snapdragon 4 Gen 1 | 120Hz Refresh Rate | 5000mAh Battery | Travel Adapter to be Purchased Separately</t>
  </si>
  <si>
    <t xml:space="preserve">B0BF54LXW6</t>
  </si>
  <si>
    <t xml:space="preserve">B09XB7SRQ5</t>
  </si>
  <si>
    <t xml:space="preserve">Redmi 10A (Slate Grey, 4GB RAM, 64GB Storage) | 2 Ghz Octa Core Helio G25 | 5000 mAh Battery | Finger Print Sensor | Upto 5GB RAM with RAM Booster</t>
  </si>
  <si>
    <t xml:space="preserve">B09FFK1PQG</t>
  </si>
  <si>
    <t xml:space="preserve">Duracell 38W Fast Car Charger Adapter with Dual Output. Quick Charge, Type C PD 20W &amp; Qualcomm Certified 3.0 Compatible for iPhone, All Smartphones, Tablets &amp; More (Copper &amp; Black)</t>
  </si>
  <si>
    <t xml:space="preserve">B09RMQYHLH</t>
  </si>
  <si>
    <t xml:space="preserve">realme narzo 50 (Speed Blue, 4GB RAM+64GB Storage) Helio G96 Processor | 50MP AI Triple Camera | 120Hz Ultra Smooth Display</t>
  </si>
  <si>
    <t xml:space="preserve">B08ZN4B121</t>
  </si>
  <si>
    <t xml:space="preserve">WeCool Bluetooth Extendable Selfie Sticks with Wireless Remote and Tripod Stand, 3-in-1 Multifunctional Selfie Stick with Tripod Stand Compatible with iPhone/OnePlus/Samsung/Oppo/Vivo and All Phones</t>
  </si>
  <si>
    <t xml:space="preserve">B0B3RSDSZ3</t>
  </si>
  <si>
    <t xml:space="preserve">B08VB34KJ1</t>
  </si>
  <si>
    <t xml:space="preserve">OPPO A74 5G (Fantastic Purple,6GB RAM,128GB Storage) with No Cost EMI/Additional Exchange Offers</t>
  </si>
  <si>
    <t xml:space="preserve">B09T39K9YL</t>
  </si>
  <si>
    <t xml:space="preserve">Redmi Note 11 Pro + 5G (Stealth Black, 6GB RAM, 128GB Storage) | 67W Turbo Charge | 120Hz Super AMOLED Display | Additional Exchange Offers | Charger Included</t>
  </si>
  <si>
    <t xml:space="preserve">B08VF8V79P</t>
  </si>
  <si>
    <t xml:space="preserve">Samsung Original 25W USB Travel Lightning Adapter for Cellular Phones, Black</t>
  </si>
  <si>
    <t xml:space="preserve">B08G28Z33M</t>
  </si>
  <si>
    <t xml:space="preserve">realme Buds Classic Wired in Ear Earphones with Mic (Black)</t>
  </si>
  <si>
    <t xml:space="preserve">B09PNKXSKF</t>
  </si>
  <si>
    <t xml:space="preserve">Noise ColorFit Pulse Grand Smart Watch with 1.69" HD Display, 60 Sports Modes, 150 Watch Faces, Spo2 Monitoring, Call Notification, Quick Replies to Text &amp; Calls (Rose Pink)</t>
  </si>
  <si>
    <t xml:space="preserve">B0B5DDJNH4</t>
  </si>
  <si>
    <t xml:space="preserve">boAt Wave Call Smart Watch, Smart Talk with Advanced Dedicated Bluetooth Calling Chip, 1.69” HD Display with 550 NITS &amp; 70% Color Gamut, 150+ Watch Faces, Multi-Sport Modes, HR, SpO2, IP68(Mauve)</t>
  </si>
  <si>
    <t xml:space="preserve">B07WDKLDRX</t>
  </si>
  <si>
    <t xml:space="preserve">iQOO Neo 6 5G (Dark Nova, 8GB RAM, 128GB Storage) | Snapdragon® 870 5G | 80W FlashCharge</t>
  </si>
  <si>
    <t xml:space="preserve">B09MQSCJQ1</t>
  </si>
  <si>
    <t xml:space="preserve">boAt Xtend Smartwatch with Alexa Built-in, 1.69” HD Display, Multiple Watch Faces, Stress Monitor, Heart &amp; SpO2 Monitoring, 14 Sports Modes, Sleep Monitor, 5 ATM &amp; 7 Days Battery(Charcoal Black)</t>
  </si>
  <si>
    <t xml:space="preserve">B094YFFSMY</t>
  </si>
  <si>
    <t xml:space="preserve">Tygot Bluetooth Extendable Selfie Sticks with Wireless Remote and Tripod Stand, 3-in-1 Multifunctional Selfie Stick with Tripod Stand Compatible with iPhone/OnePlus/Samsung/Oppo/Vivo and All Phones</t>
  </si>
  <si>
    <t xml:space="preserve">B09MT84WV5</t>
  </si>
  <si>
    <t xml:space="preserve">Samsung EVO Plus 128GB microSDXC UHS-I U3 130MB/s Full HD &amp; 4K UHD Memory Card with Adapter (MB-MC128KA), Blue</t>
  </si>
  <si>
    <t xml:space="preserve">B08VS3YLRK</t>
  </si>
  <si>
    <t xml:space="preserve">Portronics Adapto 20 Type C 20W Fast PD/Type C Adapter Charger with Fast Charging for iPhone 12/12 Pro/12 Mini/12 Pro Max/11/XS/XR/X/8/Plus, iPad Pro/Air/Mini, Galaxy 10/9/8 (Adapter Only) White</t>
  </si>
  <si>
    <t xml:space="preserve">B0B4F3QNDM</t>
  </si>
  <si>
    <t xml:space="preserve">Samsung Galaxy M13 5G (Aqua Green, 6GB, 128GB Storage) | 5000mAh Battery | Upto 12GB RAM with RAM Plus</t>
  </si>
  <si>
    <t xml:space="preserve">B07GQD4K6L</t>
  </si>
  <si>
    <t xml:space="preserve">boAt Bassheads 100 in Ear Wired Earphones with Mic(Furious Red)</t>
  </si>
  <si>
    <t xml:space="preserve">B07WDKLRM4</t>
  </si>
  <si>
    <t xml:space="preserve">iQOO Z6 44W by vivo (Lumina Blue, 4GB RAM, 128GB Storage) | 6.44" FHD+ AMOLED Display | 50% Charge in just 27 mins | in-Display Fingerprint Scanning</t>
  </si>
  <si>
    <t xml:space="preserve">B0BP18W8TM</t>
  </si>
  <si>
    <t xml:space="preserve">Fire-Boltt Gladiator 1.96" Biggest Display Smart Watch with Bluetooth Calling, Voice Assistant &amp;123 Sports Modes, 8 Unique UI Interactions, SpO2, 24/7 Heart Rate Tracking</t>
  </si>
  <si>
    <t xml:space="preserve">B07GXHC691</t>
  </si>
  <si>
    <t xml:space="preserve">STRIFF PS2_01 Multi Angle Mobile/Tablet Tabletop Stand. Phone Holder for iPhone, Android, Samsung, OnePlus, Xiaomi. Portable, Foldable Cell Phone Stand. Perfect for Bed, Office, Home &amp; Desktop (Black)</t>
  </si>
  <si>
    <t xml:space="preserve">B08FN6WGDQ</t>
  </si>
  <si>
    <t xml:space="preserve">Samsung Galaxy Buds Live Bluetooth Truly Wireless in Ear Earbuds with Mic, Upto 21 Hours Playtime, Mystic Black</t>
  </si>
  <si>
    <t xml:space="preserve">B0B3D39RKV</t>
  </si>
  <si>
    <t xml:space="preserve">OnePlus Nord 2T 5G (Jade Fog, 12GB RAM, 256GB Storage)</t>
  </si>
  <si>
    <t xml:space="preserve">B085HY1DGR</t>
  </si>
  <si>
    <t xml:space="preserve">Sounce Spiral Charger Cable Protector Data Cable Saver Charging Cord Protective Cable Cover Headphone MacBook Laptop Earphone Cell Phone Set of 3 (Cable Protector (12 Units))</t>
  </si>
  <si>
    <t xml:space="preserve">B08D75R3Z1</t>
  </si>
  <si>
    <t xml:space="preserve">PTron Boom Ultima 4D Dual Driver, in-Ear Gaming Wired Headphones with in-line Mic, Volume Control &amp; Passive Noise Cancelling Boom 3 Earphones - (Dark Blue)</t>
  </si>
  <si>
    <t xml:space="preserve">B0B4F2TTTS</t>
  </si>
  <si>
    <t xml:space="preserve">Samsung Galaxy M13 (Aqua Green, 4GB, 64GB Storage) | 6000mAh Battery | Upto 8GB RAM with RAM Plus</t>
  </si>
  <si>
    <t xml:space="preserve">B09WRMNJ9G</t>
  </si>
  <si>
    <t xml:space="preserve">OnePlus 10R 5G (Forest Green, 8GB RAM, 128GB Storage, 80W SuperVOOC)</t>
  </si>
  <si>
    <t xml:space="preserve">B0B14MR9L1</t>
  </si>
  <si>
    <t xml:space="preserve">B09ZPL5VYM</t>
  </si>
  <si>
    <t xml:space="preserve">Ambrane Mobile Holding Stand, 180° Perfect View, Height Adjustment, Wide Compatibility, Multipurpose, Anti-Skid Design (Twistand, Black)</t>
  </si>
  <si>
    <t xml:space="preserve">B0993BB11X</t>
  </si>
  <si>
    <t xml:space="preserve">Ambrane 10000mAh Slim Power Bank, 20W Fast Charging, Dual Output, Type C PD (Input &amp; Output), Quick Charge, Li-Polymer, Multi-Layer Protection for iPhone, Anrdoid &amp; Other Devices (Stylo 10K, Black)</t>
  </si>
  <si>
    <t xml:space="preserve">B09V2PZDX8</t>
  </si>
  <si>
    <t xml:space="preserve">Nokia 105 Single SIM, Keypad Mobile Phone with Wireless FM Radio | Blue</t>
  </si>
  <si>
    <t xml:space="preserve">B085W8CFLH</t>
  </si>
  <si>
    <t xml:space="preserve">PTron Tangent Lite Bluetooth 5.0 Earphones with Mic, Hi-Fi Stereo Sound Neckband, 8Hrs Playtime, Lightweight Snug-fit in-Ear Headphones, IPX4 Water Resistant, Fast Charge &amp; Voice Assistant (Black)</t>
  </si>
  <si>
    <t xml:space="preserve">B09MT6XSFW</t>
  </si>
  <si>
    <t xml:space="preserve">Samsung EVO Plus 64GB microSDXC UHS-I U1 130MB/s Full HD &amp; 4K UHD Memory Card with Adapter (MB-MC64KA), Blue</t>
  </si>
  <si>
    <t xml:space="preserve">B07RD611Z8</t>
  </si>
  <si>
    <t xml:space="preserve">Ambrane 20000mAh Power Bank with 20W Fast Charging, Triple Output, Power Delivery, Type C Input, Made in India, Multi-Layer Protection, Li-Polymer + Type C Cable (Stylo-20k, Black)</t>
  </si>
  <si>
    <t xml:space="preserve">B0B4F52B5X</t>
  </si>
  <si>
    <t xml:space="preserve">Samsung Galaxy M13 (Midnight Blue, 4GB, 64GB Storage) | 6000mAh Battery | Upto 8GB RAM with RAM Plus</t>
  </si>
  <si>
    <t xml:space="preserve">B096VF5YYF</t>
  </si>
  <si>
    <t xml:space="preserve">boAt Xtend Smartwatch with Alexa Built-in, 1.69” HD Display, Multiple Watch Faces, Stress Monitor, Heart &amp; SpO2 Monitoring, 14 Sports Modes, Sleep Monitor, 5 ATM &amp; 7 Days Battery(Pitch Black)</t>
  </si>
  <si>
    <t xml:space="preserve">B0B5D39BCD</t>
  </si>
  <si>
    <t xml:space="preserve">boAt Wave Call Smart Watch, Smart Talk with Advanced Dedicated Bluetooth Calling Chip, 1.69” HD Display with 550 NITS &amp; 70% Color Gamut, 150+ Watch Faces, Multi-Sport Modes, HR, SpO2, IP68(Deep Blue)</t>
  </si>
  <si>
    <t xml:space="preserve">B09XBJ1CTN</t>
  </si>
  <si>
    <t xml:space="preserve">MI Xiaomi 22.5W Fast USB Type C Charger Combo for Tablets - White</t>
  </si>
  <si>
    <t xml:space="preserve">B0B4F5L738</t>
  </si>
  <si>
    <t xml:space="preserve">B08MTCKDYN</t>
  </si>
  <si>
    <t xml:space="preserve">Gizga Essentials Spiral Cable Protector Cord Saver for Mac Charger, iPhone Charger, Wire Protector, Lightweight Durable Flexible Wire Winder for Charging Cables, Data Cables, Earphones, Pack of 10</t>
  </si>
  <si>
    <t xml:space="preserve">B09QS8V5N8</t>
  </si>
  <si>
    <t xml:space="preserve">Redmi Note 11 (Space Black, 4GB RAM, 64GB Storage)|90Hz FHD+ AMOLED Display | Qualcomm® Snapdragon™ 680-6nm | 33W Charger Included</t>
  </si>
  <si>
    <t xml:space="preserve">B09T2WRLJJ</t>
  </si>
  <si>
    <t xml:space="preserve">Redmi Note 11 Pro + 5G (Phantom White, 8GB RAM, 128GB Storage) | 67W Turbo Charge | 120Hz Super AMOLED Display | Additional Exchange Offers | Charger Included</t>
  </si>
  <si>
    <t xml:space="preserve">B089WB69Y1</t>
  </si>
  <si>
    <t xml:space="preserve">USB Charger, Oraimo Elite Dual Port 5V/2.4A Wall Charger, USB Wall Charger Adapter for iPhone 11/Xs/XS Max/XR/X/8/7/6/Plus, iPad Pro/Air 2/Mini 3/Mini 4, Samsung S4/S5, and More</t>
  </si>
  <si>
    <t xml:space="preserve">B0116MIKKC</t>
  </si>
  <si>
    <t xml:space="preserve">Goldmedal Curve Plus 202042 Plastic Spice 3-Pin 240V Universal Travel Adaptor (White)</t>
  </si>
  <si>
    <t xml:space="preserve">B09P858DK8</t>
  </si>
  <si>
    <t xml:space="preserve">WeCool C1 Car Mobile Holder with One Click Technology,360° Rotational, Strong Suction Cup,Compatible with 4 to 6 Inch Devices, Wildshield and Dashboard Mobile Holder for Car, and Use</t>
  </si>
  <si>
    <t xml:space="preserve">B07DJLFMPS</t>
  </si>
  <si>
    <t xml:space="preserve">HP 32GB Class 10 MicroSD Memory Card (U1 TF Card 32GB)</t>
  </si>
  <si>
    <t xml:space="preserve">B07WHQWXL7</t>
  </si>
  <si>
    <t xml:space="preserve">iQOO Z6 44W by vivo (Lumina Blue, 6GB RAM, 128GB Storage) | 6.44" FHD+ AMOLED Display | 50% Charge in just 27 mins | in-Display Fingerprint Scanning</t>
  </si>
  <si>
    <t xml:space="preserve">B07WDK3ZS6</t>
  </si>
  <si>
    <t xml:space="preserve">iQOO Z6 Lite 5G by vivo (Mystic Night, 6GB RAM, 128GB Storage) | World's First Snapdragon 4 Gen 1 | 120Hz Refresh Rate | 5000mAh Battery | Travel Adapter to be Purchased Separately</t>
  </si>
  <si>
    <t xml:space="preserve">B09T2S8X9C</t>
  </si>
  <si>
    <t xml:space="preserve">Redmi Note 11 Pro + 5G (Stealth Black, 8GB RAM, 256GB Storage) | 67W Turbo Charge | 120Hz Super AMOLED Display | Additional Exchange Offers | Charger Included</t>
  </si>
  <si>
    <t xml:space="preserve">B07S9S86BF</t>
  </si>
  <si>
    <t xml:space="preserve">boAt Bassheads 242 in Ear Wired Earphones with Mic(Active Black)</t>
  </si>
  <si>
    <t xml:space="preserve">B07N8RQ6W7</t>
  </si>
  <si>
    <t xml:space="preserve">Portronics MODESK POR-122 Universal Mobile Tabletop Holder (Black)</t>
  </si>
  <si>
    <t xml:space="preserve">B09FKDH6FS</t>
  </si>
  <si>
    <t xml:space="preserve">realme narzo 50i (Mint Green, 2GB RAM+32GB Storage) Octa Core Processor | 6.5" inch Large Display</t>
  </si>
  <si>
    <t xml:space="preserve">B08HVJCW95</t>
  </si>
  <si>
    <t xml:space="preserve">MI 10000mAh 3i Lithium Polymer Power Bank Dual Input(Micro-USB and Type C) and Output Ports 18W Fast Charging (Metallic Blue)</t>
  </si>
  <si>
    <t xml:space="preserve">B09YDFDVNS</t>
  </si>
  <si>
    <t xml:space="preserve">Nokia 105 Plus Single SIM, Keypad Mobile Phone with Wireless FM Radio, Memory Card Slot and MP3 Player | Red</t>
  </si>
  <si>
    <t xml:space="preserve">B07WGPKTS4</t>
  </si>
  <si>
    <t xml:space="preserve">iQOO Z6 44W by vivo (Raven Black, 4GB RAM, 128GB Storage) | 6.44" FHD+ AMOLED Display | 50% Charge in just 27 mins | in-Display Fingerprint Scanning</t>
  </si>
  <si>
    <t xml:space="preserve">B09MZCQYHZ</t>
  </si>
  <si>
    <t xml:space="preserve">Ambrane 10000mAh Slim Power Bank, 20W Fast Charging, Dual Output, Type C PD (Input &amp; Output), Quick Charge, Li-Polymer, Multi-Layer Protection for iPhone, Anrdoid &amp; Other Devices (Stylo 10K, Green)</t>
  </si>
  <si>
    <t xml:space="preserve">B0B4F2ZWL3</t>
  </si>
  <si>
    <t xml:space="preserve">Samsung Galaxy M13 (Stardust Brown, 6GB, 128GB Storage) | 6000mAh Battery | Upto 12GB RAM with RAM Plus</t>
  </si>
  <si>
    <t xml:space="preserve">B08VB2CMR3</t>
  </si>
  <si>
    <t xml:space="preserve">OPPO A74 5G (Fluid Black, 6GB RAM, 128GB Storage) with No Cost EMI/Additional Exchange Offers</t>
  </si>
  <si>
    <t xml:space="preserve">B095RTJH1M</t>
  </si>
  <si>
    <t xml:space="preserve">Spigen EZ Fit Tempered Glass Screen Protector Guard for iPhone 14/13/13 Pro - 2 Pack</t>
  </si>
  <si>
    <t xml:space="preserve">B097R25DP7</t>
  </si>
  <si>
    <t xml:space="preserve">Noise ColorFit Pulse Smartwatch with 3.56 cm (1.4") Full Touch HD Display, SpO2, Heart Rate, Sleep Monitors &amp; 10-Day Battery - Jet Black</t>
  </si>
  <si>
    <t xml:space="preserve">B09YDFKJF8</t>
  </si>
  <si>
    <t xml:space="preserve">Nokia 105 Plus Single SIM, Keypad Mobile Phone with Wireless FM Radio, Memory Card Slot and MP3 Player | Charcoal</t>
  </si>
  <si>
    <t xml:space="preserve">B07WDK3ZS2</t>
  </si>
  <si>
    <t xml:space="preserve">iQOO Z6 Pro 5G by vivo (Legion Sky, 8GB RAM, 128GB Storage) | Snapdragon 778G 5G | 66W FlashCharge | 1300 nits Peak Brightness | HDR10+</t>
  </si>
  <si>
    <t xml:space="preserve">B08RZ5K9YH</t>
  </si>
  <si>
    <t xml:space="preserve">MI 33W SonicCharge 2.0 USB Charger for Cellular Phones - White</t>
  </si>
  <si>
    <t xml:space="preserve">B08444S68L</t>
  </si>
  <si>
    <t xml:space="preserve">OPPO A31 (Mystery Black, 6GB RAM, 128GB Storage) with No Cost EMI/Additional Exchange Offers</t>
  </si>
  <si>
    <t xml:space="preserve">B07WHQBZLS</t>
  </si>
  <si>
    <t xml:space="preserve">iQOO vivo Z6 5G (Chromatic Blue, 8GB RAM, 128GB Storage) | Snapdragon 695-6nm Processor | 120Hz FHD+ Display | 5000mAh Battery</t>
  </si>
  <si>
    <t xml:space="preserve">B09JS562TP</t>
  </si>
  <si>
    <t xml:space="preserve">Motorola a10 Dual Sim keypad Mobile with 1750 mAh Battery, Expandable Storage Upto 32GB, Wireless FM with Recording - Rose Gold</t>
  </si>
  <si>
    <t xml:space="preserve">B09V17S2BG</t>
  </si>
  <si>
    <t xml:space="preserve">boAt Wave Lite Smartwatch with 1.69" HD Display, Heart Rate &amp; SpO2 Level Monitor, Multiple Watch Faces, Activity Tracker, Multiple Sports Modes &amp; IP68 (Deep Blue)</t>
  </si>
  <si>
    <t xml:space="preserve">B0B5CGTBKV</t>
  </si>
  <si>
    <t xml:space="preserve">boAt Wave Call Smart Watch, Smart Talk with Advanced Dedicated Bluetooth Calling Chip, 1.69” HD Display with 550 NITS &amp; 70% Color Gamut, 150+ Watch Faces, Multi-Sport Modes,HR,SpO2(Caribbean Green)</t>
  </si>
  <si>
    <t xml:space="preserve">B0B23LW7NV</t>
  </si>
  <si>
    <t xml:space="preserve">Spigen EZ Fit Tempered Glass Screen Protector for iPhone 14 Pro Max - 2 Pack (Sensor Protection)</t>
  </si>
  <si>
    <t xml:space="preserve">B09KGV7WSV</t>
  </si>
  <si>
    <t xml:space="preserve">KINGONE Upgraded Stylus Pen, iPad Pencil, Ultra High Precision &amp; Sensitivity, Palm Rejection, Prevents False ON/Off Touch, Power Display, Tilt Sensitivity, Magnetic Adsorption for iPad 2018 and Later</t>
  </si>
  <si>
    <t xml:space="preserve">B0971DWFDT</t>
  </si>
  <si>
    <t xml:space="preserve">Portronics CarPower Mini Car Charger with Dual Output, Fast Charging (Type C PD 18W + QC 3.0A) Compatible with All Smartphones(Black)</t>
  </si>
  <si>
    <t xml:space="preserve">B0BNV7JM5Y</t>
  </si>
  <si>
    <t xml:space="preserve">boAt Newly Launched Wave Electra with 1.81" HD Display, Smart Calling with Ultra-Seamless BT Calling Chip,20 Built-In Watch Faces,100 + Sports Modes,Menu Personalization,In-Built Games(Charcoal Black)</t>
  </si>
  <si>
    <t xml:space="preserve">B0B53QFZPY</t>
  </si>
  <si>
    <t xml:space="preserve">PTron Newly Launched Force X10 Bluetooth Calling Smartwatch with 1.7" Full Touch Color Display, Real Heart Rate Monitor, SpO2, Watch Faces, 5 Days Runtime, Fitness Trackers &amp; IP68 Waterproof (Pink)</t>
  </si>
  <si>
    <t xml:space="preserve">B07WJWRNVK</t>
  </si>
  <si>
    <t xml:space="preserve">iQOO vivo Z6 5G (Dynamo Black, 6GB RAM, 128GB Storage) | Snapdragon 695-6nm Processor | 120Hz FHD+ Display | 5000mAh Battery</t>
  </si>
  <si>
    <t xml:space="preserve">B01F25X6RQ</t>
  </si>
  <si>
    <t xml:space="preserve">Samsung Ehs64 Ehs64Avfwecinu Hands-Free Wired In Ear Earphones With Mic With Remote Note (White)</t>
  </si>
  <si>
    <t xml:space="preserve">B0B244R4KB</t>
  </si>
  <si>
    <t xml:space="preserve">Spigen EZ Fit Tempered Glass Screen Protector for iPhone 14 Pro - 2 Pack (Sensor Protection)</t>
  </si>
  <si>
    <t xml:space="preserve">B0BMGG6NKT</t>
  </si>
  <si>
    <t xml:space="preserve">Samsung Galaxy M04 Dark Blue, 4GB RAM, 128GB Storage | Upto 8GB RAM with RAM Plus | MediaTek Helio P35 | 5000 mAh Battery</t>
  </si>
  <si>
    <t xml:space="preserve">B092JHPL72</t>
  </si>
  <si>
    <t xml:space="preserve">SWAPKART Flexible Mobile Tabletop Stand, Metal Built, Heavy Duty Foldable Lazy Bracket Clip Mount Multi Angle Clamp for All Smartphones (Pack of 1), Multi Color</t>
  </si>
  <si>
    <t xml:space="preserve">B09GFM8CGS</t>
  </si>
  <si>
    <t xml:space="preserve">Redmi 9A Sport (Carbon Black, 2GB RAM, 32GB Storage) | 2GHz Octa-core Helio G25 Processor | 5000 mAh Battery</t>
  </si>
  <si>
    <t xml:space="preserve">B0B3MWYCHQ</t>
  </si>
  <si>
    <t xml:space="preserve">Fire-Boltt Ring 3 Smart Watch 1.8 Biggest Display with Advanced Bluetooth Calling Chip, Voice Assistance,118 Sports Modes, in Built Calculator &amp; Games, SpO2, Heart Rate Monitoring</t>
  </si>
  <si>
    <t xml:space="preserve">B09J2MM5C6</t>
  </si>
  <si>
    <t xml:space="preserve">Amozo Ultra Hybrid Camera and Drop Protection Back Cover Case for iPhone 13 (TPU + Polycarbonate | Crystal Transparent)</t>
  </si>
  <si>
    <t xml:space="preserve">B07Q4QV1DL</t>
  </si>
  <si>
    <t xml:space="preserve">ELV Aluminum Adjustable Mobile Phone Foldable Tabletop Stand Dock Mount for All Smartphones, Tabs, Kindle, iPad (Black)</t>
  </si>
  <si>
    <t xml:space="preserve">B0B56YRBNT</t>
  </si>
  <si>
    <t xml:space="preserve">Tecno Spark 9 (Sky Mirror, 6GB RAM,128GB Storage) | 11GB Expandable RAM | Helio G37 Gaming Processor</t>
  </si>
  <si>
    <t xml:space="preserve">B01DF26V7A</t>
  </si>
  <si>
    <t xml:space="preserve">JBL C100SI Wired In Ear Headphones with Mic, JBL Pure Bass Sound, One Button Multi-function Remote, Premium Metallic Finish, Angled Buds for Comfort fit (Red)</t>
  </si>
  <si>
    <t xml:space="preserve">B08K4PSZ3V</t>
  </si>
  <si>
    <t xml:space="preserve">Tukzer Capacitive Stylus Pen for Touch Screens Devices, Fine Point, Lightweight Metal Body with Magnetism Cover Cap for Smartphones/Tablets/iPad/iPad Pro/iPhone (Grey)</t>
  </si>
  <si>
    <t xml:space="preserve">B0B4F1YC3J</t>
  </si>
  <si>
    <t xml:space="preserve">B08K4RDQ71</t>
  </si>
  <si>
    <t xml:space="preserve">Tukzer Capacitive Stylus Pen for Touch Screens Devices, Fine Point, Lightweight Metal Body with Magnetism Cover Cap for Smartphones/Tablets/iPad/iPad Pro/iPhone (White)</t>
  </si>
  <si>
    <t xml:space="preserve">B085CZ3SR1</t>
  </si>
  <si>
    <t xml:space="preserve">Mi 10W Wall Charger for Mobile Phones with Micro USB Cable (Black)</t>
  </si>
  <si>
    <t xml:space="preserve">B09YV3K34W</t>
  </si>
  <si>
    <t xml:space="preserve">B09Z6WH2N1</t>
  </si>
  <si>
    <t xml:space="preserve">STRIFF 12 Pieces Highly Flexible Silicone Micro USB Protector, Mouse Cable Protector, Suit for All Cell Phones, Computers and Chargers (White)</t>
  </si>
  <si>
    <t xml:space="preserve">B09NL4DJ2Z</t>
  </si>
  <si>
    <t xml:space="preserve">FLiX (Beetel) USB to Type C PVC Data Sync &amp; 2A Smartphone Fast Charging Cable, Made in India, 480Mbps Data Sync, Tough Cable, 1 Meter Long USB Cable for USB Type C Devices Black XCD-C12</t>
  </si>
  <si>
    <t xml:space="preserve">B0BGSV43WY</t>
  </si>
  <si>
    <t xml:space="preserve">Noise ColorFit Pro 4 Alpha Bluetooth Calling Smart Watch with 1.78 AMOLED Display, Tru Sync, 60hz Refresh Rate, instacharge, Gesture Control, Functional 360 Digital Crown (Jet Black)</t>
  </si>
  <si>
    <t xml:space="preserve">B0926V9CTV</t>
  </si>
  <si>
    <t xml:space="preserve">Elv Mobile Phone Mount Tabletop Holder for Phones and Tablets - Black</t>
  </si>
  <si>
    <t xml:space="preserve">B07WGPKMP5</t>
  </si>
  <si>
    <t xml:space="preserve">iQOO Z6 44W by vivo (Raven Black, 6GB RAM, 128GB Storage) | 6.44" FHD+ AMOLED Display | 50% Charge in just 27 mins | in-Display Fingerprint Scanning</t>
  </si>
  <si>
    <t xml:space="preserve">B0BBFJ9M3X</t>
  </si>
  <si>
    <t xml:space="preserve">Redmi 11 Prime 5G (Meadow Green, 4GB RAM 64GB ROM) | Prime Design | MTK Dimensity 700 | 50 MP Dual Cam | 5000mAh | 7 Band 5G</t>
  </si>
  <si>
    <t xml:space="preserve">B09PLFJ7ZW</t>
  </si>
  <si>
    <t xml:space="preserve">Noise Pulse Buzz 1.69" Bluetooth Calling Smart Watch with Call Function, 150 Watch Faces, 60 Sports Modes, Spo2 &amp; Heart Rate Monitoring, Calling Smart Watch for Men &amp; Women - Rose Pink</t>
  </si>
  <si>
    <t xml:space="preserve">B0B53NXFFR</t>
  </si>
  <si>
    <t xml:space="preserve">PTron Newly Launched Force X10 Bluetooth Calling Smartwatch with 1.7" Full Touch Display, Real Heart Rate Monitor, SpO2, Watch Faces, 5 Days Runtime, Health/Fitness Trackers &amp; IP68 Waterproof (Black)</t>
  </si>
  <si>
    <t xml:space="preserve">B07GNC2592</t>
  </si>
  <si>
    <t xml:space="preserve">Portronics CLAMP X Car-Vent Mobile Holder 360 Degree Rotational(Black)</t>
  </si>
  <si>
    <t xml:space="preserve">B09TP5KBN7</t>
  </si>
  <si>
    <t xml:space="preserve">pTron Volta Dual Port 12W Smart USB Charger Adapter, Multi-Layer Protection, Made in India, BIS Certified, Fast Charging Power Adaptor Without Cable for All iOS &amp; Android Devices (Black)</t>
  </si>
  <si>
    <t xml:space="preserve">B0949SBKMP</t>
  </si>
  <si>
    <t xml:space="preserve">boAt Flash Edition Smart Watch with Activity Tracker, Multiple Sports Modes, 1.3" Screen, 170+ Watch Faces, Sleep Monitor, Gesture, Camera &amp; Music Control, IP68 &amp; 7 Days Battery Life(Lightning Black)</t>
  </si>
  <si>
    <t xml:space="preserve">B09V175NP7</t>
  </si>
  <si>
    <t xml:space="preserve">boAt Wave Lite Smartwatch with 1.69 Inches(4.29cm) HD Display, Heart Rate &amp; SpO2 Level Monitor, Multiple Watch Faces, Activity Tracker, Multiple Sports Modes &amp; IP68 (Scarlet Red)</t>
  </si>
  <si>
    <t xml:space="preserve">B07WHSJXLF</t>
  </si>
  <si>
    <t xml:space="preserve">iQOO Z6 Pro 5G by vivo (Phantom Dusk, 8GB RAM, 128GB Storage) | Snapdragon 778G 5G | 66W FlashCharge | 1300 nits Peak Brightness | HDR10+</t>
  </si>
  <si>
    <t xml:space="preserve">B0BD3T6Z1D</t>
  </si>
  <si>
    <t xml:space="preserve">Samsung Galaxy M32 Prime Edition (Light Blue, 4GB RAM, 64GB)</t>
  </si>
  <si>
    <t xml:space="preserve">B09LHYZ3GJ</t>
  </si>
  <si>
    <t xml:space="preserve">Redmi Note 11T 5G (Matte Black, 6GB RAM, 128GB ROM)| Dimensity 810 5G | 33W Pro Fast Charging | Charger Included | Additional Exchange Offers|Get 2 Months of YouTube Premium Free!</t>
  </si>
  <si>
    <t xml:space="preserve">B07WFPMGQQ</t>
  </si>
  <si>
    <t xml:space="preserve">iQOO Z6 Pro 5G by vivo (Legion Sky, 6GB RAM, 128GB Storage) | Snapdragon 778G 5G | 66W FlashCharge | 1300 nits Peak Brightness | HDR10+</t>
  </si>
  <si>
    <t xml:space="preserve">B09QS9X9L8</t>
  </si>
  <si>
    <t xml:space="preserve">Redmi Note 11 (Horizon Blue, 6GB RAM, 64GB Storage)|90Hz FHD+ AMOLED Display | Qualcomm® Snapdragon™ 680-6nm | 33W Charger Included</t>
  </si>
  <si>
    <t xml:space="preserve">B0B6BLTGTT</t>
  </si>
  <si>
    <t xml:space="preserve">Noise Pulse 2 Max Advanced Bluetooth Calling Smart Watch with 1.85'' TFT and 550 Nits Brightness, Smart DND, 10 Days Battery, 100 Sports Mode, Smartwatch for Men and Women - (Jet Black)</t>
  </si>
  <si>
    <t xml:space="preserve">B084DTMYWK</t>
  </si>
  <si>
    <t xml:space="preserve">Myvn 30W Warp/20W Dash Charging Usb Type C Charger Cable Compatible For Cellular Phones Oneplus 8T 8 8Pro 7 Pro / 7T / 7T Pro Nord And Oneplus 3 / 3T / 5 / 5T / 6 / 6T / 7</t>
  </si>
  <si>
    <t xml:space="preserve">B0B53QLB9H</t>
  </si>
  <si>
    <t xml:space="preserve">PTron Newly Launched Force X10 Bluetooth Calling Smartwatch with 1.7" Full Touch Color Display, Real Heart Rate Monitor, SpO2, Watch Faces, 5 Days Runtime, Fitness Trackers &amp; IP68 Waterproof (Blue)</t>
  </si>
  <si>
    <t xml:space="preserve">B0BDYW3RN3</t>
  </si>
  <si>
    <t xml:space="preserve">SanDisk Ultra® microSDXC™ UHS-I Card, 256GB, 150MB/s R, 10 Y Warranty, for Smartphones</t>
  </si>
  <si>
    <t xml:space="preserve">B0B3RS9DNF</t>
  </si>
  <si>
    <t xml:space="preserve">B09QS9X16F</t>
  </si>
  <si>
    <t xml:space="preserve">Redmi Note 11 (Space Black, 6GB RAM, 64GB Storage) | 90Hz FHD+ AMOLED Display | Qualcomm® Snapdragon™ 680-6nm | 33W Charger Included</t>
  </si>
  <si>
    <t xml:space="preserve">B08HV25BBQ</t>
  </si>
  <si>
    <t xml:space="preserve">Noise ColorFit Pro 2 Full Touch Control Smart Watch with 35g Weight &amp; Upgraded LCD Display (Deep Wine)</t>
  </si>
  <si>
    <t xml:space="preserve">B09LJ116B5</t>
  </si>
  <si>
    <t xml:space="preserve">Redmi Note 11T 5G (Aquamarine Blue, 6GB RAM, 128GB ROM)| Dimensity 810 5G | 33W Pro Fast Charging | Charger Included | Additional Exchange Offers| Get 2 Months of YouTube Premium Free!</t>
  </si>
  <si>
    <t xml:space="preserve">B0BMVWKZ8G</t>
  </si>
  <si>
    <t xml:space="preserve">Newly Launched Boult Dive+ with 1.85" HD Display, Bluetooth Calling Smartwatch, 500 Nits Brightness, 7 Days Battery Life, 150+ Watch Faces, 100+ Sport Modes, IP68 Waterproof Smart Watch (Jet Black)</t>
  </si>
  <si>
    <t xml:space="preserve">B0BD92GDQH</t>
  </si>
  <si>
    <t xml:space="preserve">OnePlus Nord Watch with 1.78” AMOLED Display, 60 Hz Refresh Rate, 105 Fitness Modes, 10 Days Battery, SPO2, Heart Rate, Stress Monitor, Women Health Tracker &amp; Multiple Watch Face [Midnight Black]</t>
  </si>
  <si>
    <t xml:space="preserve">B0B5GF6DQD</t>
  </si>
  <si>
    <t xml:space="preserve">Noise Agile 2 Buzz Bluetooth Calling Smart Watch with 1.28" TFT Display,Dual Button,in-Built Mic &amp; Speaker,AI Voice Assistant, Health Suite,in-Built Games, 100 Watch Faces-(Jet Black)</t>
  </si>
  <si>
    <t xml:space="preserve">B09JS94MBV</t>
  </si>
  <si>
    <t xml:space="preserve">Motorola a10 Dual Sim keypad Mobile with 1750 mAh Battery, Expandable Storage Upto 32GB, Wireless FM with Recording - Dark Blue</t>
  </si>
  <si>
    <t xml:space="preserve">B09YV463SW</t>
  </si>
  <si>
    <t xml:space="preserve">Fire-Boltt Ninja 3 Smartwatch Full Touch 1.69 " &amp; 60 Sports Modes with IP68, Sp02 Tracking, Over 100 Cloud based watch faces ( Silver )</t>
  </si>
  <si>
    <t xml:space="preserve">B09NL4DCXK</t>
  </si>
  <si>
    <t xml:space="preserve">Flix (Beetel) Bolt 2.4 12W Dual USB Smart Charger, Made in India, Bis Certified, Fast Charging Power Adaptor with 1 Meter USB to Type C Cable for Cellular Phones (White)(Xwc-64D)</t>
  </si>
  <si>
    <t xml:space="preserve">B0B8CHJLWJ</t>
  </si>
  <si>
    <t xml:space="preserve">Kyosei Advanced Tempered Glass Compatible with Google Pixel 6a with Military-Grade Anti-Explosion Edge-to-Edge Coverage Screen Protector Guard</t>
  </si>
  <si>
    <t xml:space="preserve">B0B8ZWNR5T</t>
  </si>
  <si>
    <t xml:space="preserve">STRIFF 12 Pieces Highly Flexible Silicone Micro USB Protector, Mouse Cable Protector, Suit for All Cell Phones, Computers and Chargers (Black)</t>
  </si>
  <si>
    <t xml:space="preserve">B0BBFJLP21</t>
  </si>
  <si>
    <t xml:space="preserve">Redmi 11 Prime 5G (Thunder Black, 4GB RAM, 64GB Storage) | Prime Design | MTK Dimensity 700 | 50 MP Dual Cam | 5000mAh | 7 Band 5G</t>
  </si>
  <si>
    <t xml:space="preserve">B01F262EUU</t>
  </si>
  <si>
    <t xml:space="preserve">Samsung Original EHS64 Wired in Ear Earphones with Mic, Black</t>
  </si>
  <si>
    <t xml:space="preserve">B09VZBGL1N</t>
  </si>
  <si>
    <t xml:space="preserve">STRIFF Multi Angle Tablet/Mobile Stand. Holder for iPhone, Android, Samsung, OnePlus, Xiaomi. Portable,Foldable Stand.Perfect for Bed,Office, Home,Gift and Desktop (Black)</t>
  </si>
  <si>
    <t xml:space="preserve">B0BNVBJW2S</t>
  </si>
  <si>
    <t xml:space="preserve">boAt Newly Launched Wave Electra with 1.81" HD Display, Smart Calling Ultra-Seamless BT Calling Chip, 20 Built-in Watch Faces, 100 + Sports Modes, Menu Personalization, in-Built Games(Cherry Blossom)</t>
  </si>
  <si>
    <t xml:space="preserve">B0B2DJ5RVQ</t>
  </si>
  <si>
    <t xml:space="preserve">WeCool B1 Mobile Holder for Bikes or Bike Mobile Holder for Maps and GPS Navigation, one Click Locking, Firm Gripping, Anti Shake and Stable Cradle Clamp with 360° Rotation Bicycle Phone Mount</t>
  </si>
  <si>
    <t xml:space="preserve">B096TWZRJC</t>
  </si>
  <si>
    <t xml:space="preserve">Sounce 360 Adjustable Mobile Phone Holder, Universal Phone Holder Clip Lazy Bracket Flexible Gooseneck Clamp Long Arms Mount for Mobile Tabletop Stand for Bedroom, Office, Bathroom, White</t>
  </si>
  <si>
    <t xml:space="preserve">B09GP6FBZT</t>
  </si>
  <si>
    <t xml:space="preserve">OpenTech® Military-Grade Tempered Glass Screen Protector Compatible for iPhone 13/13 Pro / 14 with Edge to Edge Coverage and Easy Installation kit (6.1 Inches)</t>
  </si>
  <si>
    <t xml:space="preserve">B0B3DV7S9B</t>
  </si>
  <si>
    <t xml:space="preserve">EN LIGNE Adjustable Cell Phone Stand, Foldable Portable Phone Stand Phone Holder for Desk, Desktop Tablet Stand Compatible with Mobile Phone/iPad/Tablet (Black)</t>
  </si>
  <si>
    <t xml:space="preserve">B09MKP344P</t>
  </si>
  <si>
    <t xml:space="preserve">Tecno Spark 8T (Turquoise Cyan, 4GB RAM,64GB Storage) | 50MP AI Camera | 7GB Expandable RAM</t>
  </si>
  <si>
    <t xml:space="preserve">B08JW1GVS7</t>
  </si>
  <si>
    <t xml:space="preserve">URBN 20000 mAh Lithium_Polymer 22.5W Super Fast Charging Ultra Compact Power Bank with Quick Charge &amp; Power Delivery, Type C Input/Output, Made in India, Type C Cable Included (Camo)</t>
  </si>
  <si>
    <t xml:space="preserve">B09LHZSMRR</t>
  </si>
  <si>
    <t xml:space="preserve">Redmi Note 11T 5G (Stardust White, 6GB RAM, 128GB ROM)| Dimensity 810 5G | 33W Pro Fast Charging | Charger Included | Additional Exchange Offers|Get 2 Months of YouTube Premium Free!</t>
  </si>
  <si>
    <t xml:space="preserve">B0B5V47VK4</t>
  </si>
  <si>
    <t xml:space="preserve">OnePlus 10T 5G (Moonstone Black, 8GB RAM, 128GB Storage)</t>
  </si>
  <si>
    <t xml:space="preserve">B08H21B6V7</t>
  </si>
  <si>
    <t xml:space="preserve">Nokia 150 (2020) (Cyan)</t>
  </si>
  <si>
    <t xml:space="preserve">B09BNXQ6BR</t>
  </si>
  <si>
    <t xml:space="preserve">Noise ColorFit Ultra SE Smart Watch with 1.75"(4.3cm) HD Display, Aluminium Alloy Body, 60 Sports Modes, Spo2, Lightweight, Stock Market Info, Calls &amp; SMS Reply (Vintage Brown)</t>
  </si>
  <si>
    <t xml:space="preserve">B01FSYQ2A4</t>
  </si>
  <si>
    <t xml:space="preserve">boAt Rockerz 400 Bluetooth On Ear Headphones With Mic With Upto 8 Hours Playback &amp; Soft Padded Ear Cushions(Grey/Green)</t>
  </si>
  <si>
    <t xml:space="preserve">B08L5FM4JC</t>
  </si>
  <si>
    <t xml:space="preserve">SanDisk Ultra microSD UHS-I Card 64GB, 120MB/s R</t>
  </si>
  <si>
    <t xml:space="preserve">B0B54Y2SNX</t>
  </si>
  <si>
    <t xml:space="preserve">iPhone Original 20W C Type Fast PD Charger Compatible with I-Phone13/13 mini/13pro/13 pro Max I-Phone 12/12 Pro/12mini/12 Pro Max, I-Phone11/11 Pro/11 Pro Max 2020 (Only Adapter)</t>
  </si>
  <si>
    <t xml:space="preserve">B08BQ947H3</t>
  </si>
  <si>
    <t xml:space="preserve">LIRAMARK Webcam Cover Slide, Ultra Thin Laptop Camera Cover Slide Blocker for Computer MacBook Pro iMac PC Tablet (Pack of 3)</t>
  </si>
  <si>
    <t xml:space="preserve">B0B7DHSKS7</t>
  </si>
  <si>
    <t xml:space="preserve">Nokia 8210 4G Volte keypad Phone with Dual SIM, Big Display, inbuilt MP3 Player &amp; Wireless FM Radio | Blue</t>
  </si>
  <si>
    <t xml:space="preserve">B09SJ1FTYV</t>
  </si>
  <si>
    <t xml:space="preserve">Sounce Protective Case Cover Compatible Boat Xtend Overall Protective Case TPU HD Clear Ultra-Thin Cover with Unbreakable Screen Guard</t>
  </si>
  <si>
    <t xml:space="preserve">B09XJ5LD6L</t>
  </si>
  <si>
    <t xml:space="preserve">Samsung Galaxy M53 5G (Deep Ocean Blue, 6GB, 128GB Storage) | 108MP | sAmoled+ 120Hz | 12GB RAM with RAM Plus | Travel Adapter to be Purchased Separately</t>
  </si>
  <si>
    <t xml:space="preserve">B07WHS7MZ1</t>
  </si>
  <si>
    <t xml:space="preserve">iQOO 9 SE 5G (Sunset Sierra, 8GB RAM, 128GB Storage) | Qualcomm Snapdragon 888 | 66W Flash Charge</t>
  </si>
  <si>
    <t xml:space="preserve">B0BBVKRP7B</t>
  </si>
  <si>
    <t xml:space="preserve">SHREENOVA ID116 Plus Bluetooth Fitness Smart Watch for Men Women and Kids Activity Tracker (Black)</t>
  </si>
  <si>
    <t xml:space="preserve">B09NY7W8YD</t>
  </si>
  <si>
    <t xml:space="preserve">POCO C31 (Shadow Gray, 64 GB) (4 GB RAM)</t>
  </si>
  <si>
    <t xml:space="preserve">B0BMM7R92G</t>
  </si>
  <si>
    <t xml:space="preserve">Noise_Colorfit Smart Watch Charger 2 Pin USB Fast Charger Magnetic Charging Cable Adapter (Smart Watch Charger 2 pin)</t>
  </si>
  <si>
    <t xml:space="preserve">B08M66K48D</t>
  </si>
  <si>
    <t xml:space="preserve">POPIO Tempered Glass Screen Protector Compatible for iPhone 12 / iPhone 12 Pro with Case Friendly Edge to Edge Coverage and Easy Installation kit, Pack of 1</t>
  </si>
  <si>
    <t xml:space="preserve">B09RFB2SJQ</t>
  </si>
  <si>
    <t xml:space="preserve">10WeRun Id-116 Bluetooth Smartwatch Wireless Fitness Band for Boys, Girls, Men, Women &amp; Kids | Sports Gym Watch for All Smart Phones I Heart Rate and spo2 Monitor</t>
  </si>
  <si>
    <t xml:space="preserve">B0B82YGCF6</t>
  </si>
  <si>
    <t xml:space="preserve">Tokdis MX-1 Pro Bluetooth Calling Smartwatch - 1.69” LCD Display, Multiple Watch Faces, Sleep Monitor, Heart &amp; SpO2 Monitoring, Multiple Sports Modes, Water Resistant</t>
  </si>
  <si>
    <t xml:space="preserve">B08HF4W2CT</t>
  </si>
  <si>
    <t xml:space="preserve">URBN 20000 mAh lithium_polymer Power Bank with 12 Watt Fast Charging, Camo</t>
  </si>
  <si>
    <t xml:space="preserve">B08BCKN299</t>
  </si>
  <si>
    <t xml:space="preserve">Sounce Gold Plated 3.5 mm Headphone Splitter for Computer 2 Male to 1 Female 3.5mm Headphone Mic Audio Y Splitter Cable Smartphone Headset to PC Adapter – (Black,20cm)</t>
  </si>
  <si>
    <t xml:space="preserve">B0B2X35B1K</t>
  </si>
  <si>
    <t xml:space="preserve">Noise ColorFit Ultra 2 Buzz 1.78" AMOLED Bluetooth Calling Watch with 368*448px Always On Display, Premium Metallic Finish, 100+ Watch Faces, 100+ Sports Modes, Health Suite (Jet Black)</t>
  </si>
  <si>
    <t xml:space="preserve">B09QS9CWLV</t>
  </si>
  <si>
    <t xml:space="preserve">B0B1NX6JTN</t>
  </si>
  <si>
    <t xml:space="preserve">Spigen Ultra Hybrid Back Cover Case Compatible with iPhone 14 Pro max (TPU + Poly Carbonate | Crystal Clear)</t>
  </si>
  <si>
    <t xml:space="preserve">B078G6ZF5Z</t>
  </si>
  <si>
    <t xml:space="preserve">Oraimo 18W USB &amp; Type-C Dual Output Super Fast Charger Wall Adapter PE2.0&amp;Quick Charge 3.0 &amp; Power Delivery 3.0 Compatible for iPhone 13/13 Mini/13 Pro Max/12/12 Pro Max, iPad Mini/Pro, Pixel, Galaxy, Airpods Pro</t>
  </si>
  <si>
    <t xml:space="preserve">B0BBW521YC</t>
  </si>
  <si>
    <t xml:space="preserve">LAPSTER 12pcs Spiral Cable Protectors for Charger, Wires, Data Charger Cable Protector for Computers, Cell Phones etc.(Grey)</t>
  </si>
  <si>
    <t xml:space="preserve">B09HSKYMB3</t>
  </si>
  <si>
    <t xml:space="preserve">MI REDMI 9i Sport (Carbon Black, 64 GB) (4 GB RAM)</t>
  </si>
  <si>
    <t xml:space="preserve">B09YV42QHZ</t>
  </si>
  <si>
    <t xml:space="preserve">Fire-Boltt Ninja 3 Smartwatch Full Touch 1.69 " &amp; 60 Sports Modes with IP68, Sp02 Tracking, Over 100 Cloud based watch faces ( Green )</t>
  </si>
  <si>
    <t xml:space="preserve">B09BF8JBWX</t>
  </si>
  <si>
    <t xml:space="preserve">Lava A1 Josh 21(Blue Silver) -Dual Sim,Call Blink Notification,Military Grade Certified with 4 Day Battery Backup, Keypad Mobile</t>
  </si>
  <si>
    <t xml:space="preserve">B0B5YBGCKD</t>
  </si>
  <si>
    <t xml:space="preserve">POPIO Tempered Glass Compatible for iPhone 13 / iPhone 13 Pro/iPhone 14 (Transparent) Edge to Edge Full Screen Coverage with Installation Kit, Pack of 2</t>
  </si>
  <si>
    <t xml:space="preserve">B09MY4W73Q</t>
  </si>
  <si>
    <t xml:space="preserve">Amozo Ultra Hybrid Camera and Drop Protection Back Cover Case for iPhone 13 (Polycarbonate| Back Transparent - Sides Black)</t>
  </si>
  <si>
    <t xml:space="preserve">B09T37CKQ5</t>
  </si>
  <si>
    <t xml:space="preserve">FLiX Usb Charger,Flix (Beetel) Bolt 2.4 Dual Poart,5V/2.4A/12W Usb Wall Charger Fast Charging,Adapter For Android/Iphone 11/Xs/Xs Max/Xr/X/8/7/6/Plus,Ipad Pro/Air 2/Mini 3/4,Samsung S4/S5 &amp; More-Black</t>
  </si>
  <si>
    <t xml:space="preserve">B09GFPN6TP</t>
  </si>
  <si>
    <t xml:space="preserve">Redmi 9A Sport (Coral Green, 3GB RAM, 32GB Storage) | 2GHz Octa-core Helio G25 Processor | 5000 mAh Battery</t>
  </si>
  <si>
    <t xml:space="preserve">B0B298D54H</t>
  </si>
  <si>
    <t xml:space="preserve">Prolet Classic Bumper Case Cover for Samsung Galaxy Watch 4 44mm TPU Plated Full Screen Protector (Black)</t>
  </si>
  <si>
    <t xml:space="preserve">B08VB57558</t>
  </si>
  <si>
    <t xml:space="preserve">Samsung Galaxy S20 FE 5G (Cloud Navy, 8GB RAM, 128GB Storage) with No Cost EMI &amp; Additional Exchange Offers</t>
  </si>
  <si>
    <t xml:space="preserve">B0B9BXKBC7</t>
  </si>
  <si>
    <t xml:space="preserve">WeCool S5 Long Selfie Stick, with Large Reinforced Tripod Stand up to 61 Inch / 156 Cms, Ultra Long Multi Function Bluetooth Selfie Stick with 1/4 Screw Compatible with Gopro, Camera, and Ring Light</t>
  </si>
  <si>
    <t xml:space="preserve">B09NY6TRXG</t>
  </si>
  <si>
    <t xml:space="preserve">POCO C31 (Royal Blue, 64 GB) (4 GB RAM)</t>
  </si>
  <si>
    <t xml:space="preserve">B09NVPJ3P4</t>
  </si>
  <si>
    <t xml:space="preserve">Noise ColorFit Pulse Grand Smart Watch with 1.69"(4.29cm) HD Display, 60 Sports Modes, 150 Watch Faces, Fast Charge, Spo2, Stress, Sleep, Heart Rate Monitoring &amp; IP68 Waterproof (Electric Blue)</t>
  </si>
  <si>
    <t xml:space="preserve">B0B3NDPCS9</t>
  </si>
  <si>
    <t xml:space="preserve">B09VGKFM7Y</t>
  </si>
  <si>
    <t xml:space="preserve">Amazon Basics 2 Amp USB Wall Charger &amp; Micro USB Cable (White)</t>
  </si>
  <si>
    <t xml:space="preserve">B07QCWY5XV</t>
  </si>
  <si>
    <t xml:space="preserve">Mobilife Bluetooth Extendable Selfie Stick with Tripod Stand and Wireless Remote,3-in-1 Multifunctional Selfie Stick Tripod for iPhone Samsung Mi Realme Oppo Vivo Google More,Black</t>
  </si>
  <si>
    <t xml:space="preserve">B098QXR9X2</t>
  </si>
  <si>
    <t xml:space="preserve">Ambrane 27000mAh Power Bank, 20W Fast Charging, Triple Output, Type C PD (Input &amp; Output), Quick Charge, Li-Polymer, Multi-Layer Protection for iPhone, Smartphones &amp; Other Devices (Stylo Pro, Black)</t>
  </si>
  <si>
    <t xml:space="preserve">B07H1S7XW8</t>
  </si>
  <si>
    <t xml:space="preserve">STRIFF Wall Mount Phone Holder Wall Mount with Adhesive Strips, Charging Holder Compatible with iPhone, Smartphone and Mini Tablet (Pack of 1) (White)</t>
  </si>
  <si>
    <t xml:space="preserve">B0BNXFDTZ2</t>
  </si>
  <si>
    <t xml:space="preserve">Fire-Boltt Tank 1.85" Bluetooth Calling Smart Watch, 123 Sports Mode, 8 UI Interactions, Built in Speaker &amp; Mic, 7 Days Battery &amp; Fire-Boltt Health Suite</t>
  </si>
  <si>
    <t xml:space="preserve">B088ZFJY82</t>
  </si>
  <si>
    <t xml:space="preserve">Elv Aluminium Adjustable Mobile Phone Foldable Holder Tabletop Stand Dock Mount for All Smartphones, Tabs, Kindle, iPad (Moonlight Silver)</t>
  </si>
  <si>
    <t xml:space="preserve">B0B4F4QZ1H</t>
  </si>
  <si>
    <t xml:space="preserve">Samsung Galaxy M13 5G (Stardust Brown, 6GB, 128GB Storage) | 5000mAh Battery | Upto 12GB RAM with RAM Plus</t>
  </si>
  <si>
    <t xml:space="preserve">B09BCNQ9R2</t>
  </si>
  <si>
    <t xml:space="preserve">DYAZO USB 3.0 Type C Female to USB A Male Connector/Converter/Adapter Compatible for Samsung Galaxy Note s 20 10 Plus Ultra,Google Pixel 4 5 3 2 &amp; Other Type-c Devices</t>
  </si>
  <si>
    <t xml:space="preserve">B0B9BD2YL4</t>
  </si>
  <si>
    <t xml:space="preserve">KINGONE Wireless Charging Pencil (2nd Generation) for iPad with Magnetic and Tilt Sensitive, Palm Rejection, Compatible with Apple iPad Pro 11 inch 1/2/3/4, iPad Pro 12.9 Inch 3/4/5/6, iPad Air 4/5, mini6</t>
  </si>
  <si>
    <t xml:space="preserve">B071Z8M4KX</t>
  </si>
  <si>
    <t xml:space="preserve">boAt BassHeads 100 in-Ear Wired Headphones with Mic (Black)</t>
  </si>
  <si>
    <t xml:space="preserve">B09N3ZNHTY</t>
  </si>
  <si>
    <t xml:space="preserve">boAt Airdopes 141 Bluetooth Truly Wireless in Ear Earbuds with mic, 42H Playtime, Beast Mode(Low Latency Upto 80ms) for Gaming, ENx Tech, ASAP Charge, IWP, IPX4 Water Resistance (Bold Black)</t>
  </si>
  <si>
    <t xml:space="preserve">B005FYNT3G</t>
  </si>
  <si>
    <t xml:space="preserve">SanDisk Cruzer Blade 32GB USB Flash Drive</t>
  </si>
  <si>
    <t xml:space="preserve">External Devices &amp; Data Storage</t>
  </si>
  <si>
    <t xml:space="preserve">B01J0XWYKQ</t>
  </si>
  <si>
    <t xml:space="preserve">Logitech B170 Wireless Mouse, 2.4 GHz with USB Nano Receiver, Optical Tracking, 12-Months Battery Life, Ambidextrous, PC/Mac/Laptop - Black</t>
  </si>
  <si>
    <t xml:space="preserve">B09CTRPSJR</t>
  </si>
  <si>
    <t xml:space="preserve">Storio Kids Toys LCD Writing Tablet 8.5Inch E-Note Pad Best Birthday Gift for Girls Boys, Multicolor (SC1667)</t>
  </si>
  <si>
    <t xml:space="preserve">B08JQN8DGZ</t>
  </si>
  <si>
    <t xml:space="preserve">boAt Airdopes 121v2 in-Ear True Wireless Earbuds with Upto 14 Hours Playback, 8MM Drivers, Battery Indicators, Lightweight Earbuds &amp; Multifunction Controls (Active Black, with Mic)</t>
  </si>
  <si>
    <t xml:space="preserve">B0B72BSW7K</t>
  </si>
  <si>
    <t xml:space="preserve">SKE Bed Study Table Portable Wood Multifunction Laptop-Table Lapdesk for Children Bed Foldabe Table Work with Tablet Slot &amp; Cup Holder Brown Black</t>
  </si>
  <si>
    <t xml:space="preserve">B08TV2P1N8</t>
  </si>
  <si>
    <t xml:space="preserve">boAt Rockerz 255 Pro+ in-Ear Bluetooth Neckband with Upto 40 Hours Playback, ASAP  Charge, IPX7, Dual Pairing, BT v5.0, with Mic (Active Black)</t>
  </si>
  <si>
    <t xml:space="preserve">B07XCM6T4N</t>
  </si>
  <si>
    <t xml:space="preserve">STRIFF Adjustable Laptop Tabletop Stand Patented Riser Ventilated Portable Foldable Compatible with MacBook Notebook Tablet Tray Desk Table Book with Free Phone Stand (Black)</t>
  </si>
  <si>
    <t xml:space="preserve">B07T5DKR5D</t>
  </si>
  <si>
    <t xml:space="preserve">ZEBRONICS Zeb-Bro in Ear Wired Earphones with Mic, 3.5mm Audio Jack, 10mm Drivers, Phone/Tablet Compatible(Black)</t>
  </si>
  <si>
    <t xml:space="preserve">B07PR1CL3S</t>
  </si>
  <si>
    <t xml:space="preserve">boAt Rockerz 450 Bluetooth On Ear Headphones with Mic, Upto 15 Hours Playback, 40MM Drivers, Padded Ear Cushions, Integrated Controls and Dual Modes(Luscious Black)</t>
  </si>
  <si>
    <t xml:space="preserve">B07JQKQ91F</t>
  </si>
  <si>
    <t xml:space="preserve">JBL C50HI, Wired in Ear Headphones with Mic, One Button Multi-Function Remote, Lightweight &amp; Comfortable fit (Black)</t>
  </si>
  <si>
    <t xml:space="preserve">B08W56G1K9</t>
  </si>
  <si>
    <t xml:space="preserve">LAPSTER Spiral Charger Spiral Charger Cable Protectors for Wires Data Cable Saver Charging Cord Protective Cable Cover Set of 3 (12 Pieces)</t>
  </si>
  <si>
    <t xml:space="preserve">B01L8ZNWN2</t>
  </si>
  <si>
    <t xml:space="preserve">HP v236w USB 2.0 64GB Pen Drive, Metal</t>
  </si>
  <si>
    <t xml:space="preserve">B009VCGPSY</t>
  </si>
  <si>
    <t xml:space="preserve">HP X1000 Wired USB Mouse with 3 Handy Buttons, Fast-Moving Scroll Wheel and Optical Sensor works on most Surfaces (H2C21AA, Black/Grey)</t>
  </si>
  <si>
    <t xml:space="preserve">B0B296NTFV</t>
  </si>
  <si>
    <t xml:space="preserve">Portronics Toad 23 Wireless Optical Mouse with 2.4GHz, USB Nano Dongle, Optical Orientation, Click Wheel, Adjustable DPI(Black)</t>
  </si>
  <si>
    <t xml:space="preserve">B07TCN5VR9</t>
  </si>
  <si>
    <t xml:space="preserve">Boult Audio BassBuds X1 in-Ear Wired Earphones with 10mm Extra Bass Driver and HD Sound with mic(Black)</t>
  </si>
  <si>
    <t xml:space="preserve">B00ZYLMQH0</t>
  </si>
  <si>
    <t xml:space="preserve">Dell KB216 Wired Multimedia USB Keyboard with Super Quite Plunger Keys with Spill-Resistant – Black</t>
  </si>
  <si>
    <t xml:space="preserve">B01HJI0FS2</t>
  </si>
  <si>
    <t xml:space="preserve">Dell MS116 1000Dpi USB Wired Optical Mouse, Led Tracking, Scrolling Wheel, Plug and Play.</t>
  </si>
  <si>
    <t xml:space="preserve">B076B8G5D8</t>
  </si>
  <si>
    <t xml:space="preserve">Boya ByM1 Auxiliary Omnidirectional Lavalier Condenser Microphone with 20ft Audio Cable (Black)</t>
  </si>
  <si>
    <t xml:space="preserve">Other</t>
  </si>
  <si>
    <t xml:space="preserve">Microphones</t>
  </si>
  <si>
    <t xml:space="preserve">B014SZO90Y</t>
  </si>
  <si>
    <t xml:space="preserve">Duracell Ultra Alkaline AA Battery, 8 Pcs</t>
  </si>
  <si>
    <t xml:space="preserve">General Purpose Batteries &amp; Battery Chargers</t>
  </si>
  <si>
    <t xml:space="preserve">B07KCMR8D6</t>
  </si>
  <si>
    <t xml:space="preserve">Classmate Octane Neon- Blue Gel Pens(Pack of 5)|Smooth Writing Pen|Attractive body colour for Boys &amp; Girls|Waterproof ink for smudge free writing|Preferred by Students for Exam|Study at home essential</t>
  </si>
  <si>
    <t xml:space="preserve">Office Products</t>
  </si>
  <si>
    <t xml:space="preserve">Office Paper Products</t>
  </si>
  <si>
    <t xml:space="preserve">B00N1U9AJS</t>
  </si>
  <si>
    <t xml:space="preserve">3M Scotch Double Sided Heavy Duty Tape(1m holds 4.5Kgs) for indoor hanging applications (Photo frames, Mirrors, Key Holders, Car Interiors, Extension Boards, Wall decoration, etc)(L: 3m, W: 24mm)</t>
  </si>
  <si>
    <t xml:space="preserve">Home &amp; Kitchen</t>
  </si>
  <si>
    <t xml:space="preserve">Craft Materials</t>
  </si>
  <si>
    <t xml:space="preserve">B07KY3FNQP</t>
  </si>
  <si>
    <t xml:space="preserve">boAt Bassheads 152 in Ear Wired Earphones with Mic(Active Black)</t>
  </si>
  <si>
    <t xml:space="preserve">B07QZ3CZ48</t>
  </si>
  <si>
    <t xml:space="preserve">boAt BassHeads 122 Wired Earphones with Heavy Bass, Integrated Controls and Mic (Gun Metal)</t>
  </si>
  <si>
    <t xml:space="preserve">B09T3H12GV</t>
  </si>
  <si>
    <t xml:space="preserve">Dell USB Wireless Keyboard and Mouse Set- KM3322W, Anti-Fade &amp; Spill-Resistant Keys, up to 36 Month Battery Life, 3Y Advance Exchange Warranty, Black</t>
  </si>
  <si>
    <t xml:space="preserve">B08ZJDWTJ1</t>
  </si>
  <si>
    <t xml:space="preserve">Seagate Expansion 1TB External HDD - USB 3.0 for Windows and Mac with 3 yr Data Recovery Services, Portable Hard Drive (STKM1000400)</t>
  </si>
  <si>
    <t xml:space="preserve">B08FTFXNNB</t>
  </si>
  <si>
    <t xml:space="preserve">HP w100 480P 30 FPS Digital Webcam with Built-in Mic, Plug and Play Setup, Wide-Angle View for Video Calling on Skype, Zoom, Microsoft Teams and Other Apps (Black)</t>
  </si>
  <si>
    <t xml:space="preserve">Cameras &amp; Photography</t>
  </si>
  <si>
    <t xml:space="preserve">B08YDFX7Y1</t>
  </si>
  <si>
    <t xml:space="preserve">ZEBRONICS Zeb-Dash Plus 2.4GHz High Precision Wireless Mouse with up to 1600 DPI, Power Saving Mode, Nano Receiver and Plug &amp; Play Usage - USB</t>
  </si>
  <si>
    <t xml:space="preserve">B087FXHB6J</t>
  </si>
  <si>
    <t xml:space="preserve">Zebronics Zeb-Companion 107 USB Wireless Keyboard and Mouse Set with Nano Receiver (Black)</t>
  </si>
  <si>
    <t xml:space="preserve">B07N42JB4S</t>
  </si>
  <si>
    <t xml:space="preserve">SYVO WT 3130 Aluminum Tripod (133CM), Universal Lightweight Tripod with Mobile Phone Holder Mount &amp; Carry Bag for All Smart Phones, Gopro, Cameras - Brown</t>
  </si>
  <si>
    <t xml:space="preserve">B0B31BYXQQ</t>
  </si>
  <si>
    <t xml:space="preserve">Boult Audio Airbass Z20 True Wireless, 40H Battery Life, Zen ENC Mic, Type-C Lightning Boult Fast Charging (10Mins=100Mins), BoomX Tech Bass, ENC, IPX5 in Ear Earbuds with mic (Green)</t>
  </si>
  <si>
    <t xml:space="preserve">B07SLMR1K6</t>
  </si>
  <si>
    <t xml:space="preserve">SanDisk Ultra Flair 64GB USB 3.0 Pen Drive, Multicolor</t>
  </si>
  <si>
    <t xml:space="preserve">B092X94QNQ</t>
  </si>
  <si>
    <t xml:space="preserve">boAt Rockerz 330 in-Ear Bluetooth Neckband with Upto 30 Hours Playtime, ASAP  Charge, Signature Sound, Dual Pairing &amp; IPX5 with Mic (Active Black)</t>
  </si>
  <si>
    <t xml:space="preserve">B0846D5CBP</t>
  </si>
  <si>
    <t xml:space="preserve">Casio FX-991ES Plus-2nd Edition Scientific Calculator, Black</t>
  </si>
  <si>
    <t xml:space="preserve">Office Electronics</t>
  </si>
  <si>
    <t xml:space="preserve">B00KXULGJQ</t>
  </si>
  <si>
    <t xml:space="preserve">TP-Link AC750 Wifi Range Extender | Up to 750Mbps | Dual Band WiFi Extender, Repeater, Wifi Signal Booster, Access Point| Easy Set-Up | Extends Wifi to Smart Home &amp; Alexa Devices (RE200)</t>
  </si>
  <si>
    <t xml:space="preserve">B08H9Z3XQW</t>
  </si>
  <si>
    <t xml:space="preserve">boAt Bassheads 242 in Ear Wired Earphones with Mic(Blue)</t>
  </si>
  <si>
    <t xml:space="preserve">B08LPJZSSW</t>
  </si>
  <si>
    <t xml:space="preserve">DIGITEK® (DTR 260 GT) Gorilla Tripod/Mini 33 cm (13 Inch) Tripod for Mobile Phone with Phone Mount &amp; Remote, Flexible Gorilla Stand for DSLR &amp; Action Cameras</t>
  </si>
  <si>
    <t xml:space="preserve">B08CYPB15D</t>
  </si>
  <si>
    <t xml:space="preserve">HP 805 Black Original Ink Cartridge</t>
  </si>
  <si>
    <t xml:space="preserve">Printers, Inks &amp; Accessories</t>
  </si>
  <si>
    <t xml:space="preserve">B00MFPCY5C</t>
  </si>
  <si>
    <t xml:space="preserve">GIZGA essentials Universal Silicone Keyboard Protector Skin for 15.6-inches Laptop (5 x 6 x 3 inches)</t>
  </si>
  <si>
    <t xml:space="preserve">B07JJFSG2B</t>
  </si>
  <si>
    <t xml:space="preserve">SanDisk Ultra 128 GB USB 3.0 Pen Drive (Black)</t>
  </si>
  <si>
    <t xml:space="preserve">B09NR6G588</t>
  </si>
  <si>
    <t xml:space="preserve">Boult Audio ZCharge Bluetooth Wireless in Ear Earphones with Mic, 40H Playtime and Super Fast Charging, Environmental Noise Cancellation for Pro+ Calling and IPX5 Water Resistant (Black)</t>
  </si>
  <si>
    <t xml:space="preserve">B07JPX9CR7</t>
  </si>
  <si>
    <t xml:space="preserve">Dell WM118 Wireless Mouse, 2.4 Ghz with USB Nano Receiver, Optical Tracking, 12-Months Battery Life, Ambidextrous, Pc/Mac/Laptop - Black.</t>
  </si>
  <si>
    <t xml:space="preserve">B08D11DZ2W</t>
  </si>
  <si>
    <t xml:space="preserve">Boult Audio AirBass PowerBuds with Inbuilt Powerbank, 120H Total Playtime, IPX7 Fully Waterproof, Lightning Boult Type-C Fast Charging, Low Latency Gaming, TWS Earbuds with Pro+ Calling Mic (Black)</t>
  </si>
  <si>
    <t xml:space="preserve">B07Q7561HD</t>
  </si>
  <si>
    <t xml:space="preserve">Eveready 1015 Carbon Zinc AA Battery - 10 Pieces</t>
  </si>
  <si>
    <t xml:space="preserve">B0819HZPXL</t>
  </si>
  <si>
    <t xml:space="preserve">Zebronics Zeb-Transformer-M Optical USB Gaming Mouse with LED Effect(Black)</t>
  </si>
  <si>
    <t xml:space="preserve">B00LXTFMRS</t>
  </si>
  <si>
    <t xml:space="preserve">PIDILITE Fevicryl Acrylic Colours Sunflower Kit (10 Colors x 15 ml) DIY Paint, Rich Pigment, Non-Craking Paint for Canvas, Wood, Leather, Earthenware, Metal, Diwali Gifts for Diwali</t>
  </si>
  <si>
    <t xml:space="preserve">B0B9LDCX89</t>
  </si>
  <si>
    <t xml:space="preserve">STRIFF Mpad Mouse Mat 230X190X3mm Gaming Mouse Pad, Non-Slip Rubber Base, Waterproof Surface, Premium-Textured, Compatible with Laser and Optical Mice(Universe Black)</t>
  </si>
  <si>
    <t xml:space="preserve">B0765B3TH7</t>
  </si>
  <si>
    <t xml:space="preserve">Gizga Essentials Hard Drive Case Shell, 6.35cm/2.5-inch, Portable Storage Organizer Bag for Earphone USB Cable Power Bank Mobile Charger Digital Gadget Hard Disk, Water Resistance Material, Black</t>
  </si>
  <si>
    <t xml:space="preserve">B0B1F6GQPS</t>
  </si>
  <si>
    <t xml:space="preserve">Boult Audio FXCharge with ENC, 32H Playtime, 5min=7H Type C Fast Charging, Zen ENC, 14.2 mm BoomX Rich Bass, IPX5, Bluetooth Wireless in Ear Earphones Neckband with mic (Black)</t>
  </si>
  <si>
    <t xml:space="preserve">B07LG59NPV</t>
  </si>
  <si>
    <t xml:space="preserve">Boult Audio Probass Curve Bluetooth Wireless in Ear Earphones with Mic with Ipx5 Water Resistant, 12H Battery Life &amp; Extra Bass (Black)</t>
  </si>
  <si>
    <t xml:space="preserve">B00AXHBBXU</t>
  </si>
  <si>
    <t xml:space="preserve">Casio FX-82MS 2nd Gen Non-Programmable Scientific Calculator, 240 Functions and 2-line Display, Black</t>
  </si>
  <si>
    <t xml:space="preserve">B08MCD9JFY</t>
  </si>
  <si>
    <t xml:space="preserve">Tygot 10 Inches Big LED Ring Light for Camera, Phone tiktok YouTube Video Shooting and Makeup, 10" inch Ring Light with 7 Feet Long Foldable and Lightweight Tripod Stand</t>
  </si>
  <si>
    <t xml:space="preserve">B083RCTXLL</t>
  </si>
  <si>
    <t xml:space="preserve">HP X200 Wireless Mouse with 2.4 GHz Wireless connectivity, Adjustable DPI up to 1600, ambidextrous Design, and 18-Month Long Battery Life. 3-Years Warranty (6VY95AA)</t>
  </si>
  <si>
    <t xml:space="preserve">B08HLZ28QC</t>
  </si>
  <si>
    <t xml:space="preserve">Oakter Mini UPS for 12V WiFi Router Broadband Modem | Backup Upto 4 Hours | WiFi Router UPS Power Backup During Power Cuts | UPS for 12V Router Broadband Modem | Current Surge &amp; Deep Discharge Protection</t>
  </si>
  <si>
    <t xml:space="preserve">B07GVR9TG7</t>
  </si>
  <si>
    <t xml:space="preserve">TP-Link Archer AC1200 Archer C6 Wi-Fi Speed Up to 867 Mbps/5 GHz + 400 Mbps/2.4 GHz, 5 Gigabit Ports, 4 External Antennas, MU-MIMO, Dual Band, WiFi Coverage with Access Point Mode, Black</t>
  </si>
  <si>
    <t xml:space="preserve">B0856HY85J</t>
  </si>
  <si>
    <t xml:space="preserve">boAt Rockerz 550 Over Ear Bluetooth Headphones with Upto 20 Hours Playback, 50MM Drivers, Soft Padded Ear Cushions and Physical Noise Isolation, Without Mic (Black)</t>
  </si>
  <si>
    <t xml:space="preserve">B07CD2BN46</t>
  </si>
  <si>
    <t xml:space="preserve">Xiaomi Mi Wired in Ear Earphones with Mic Basic with Ultra Deep Bass &amp; Aluminum Alloy Sound Chamber (Black)</t>
  </si>
  <si>
    <t xml:space="preserve">B07PLHTTB4</t>
  </si>
  <si>
    <t xml:space="preserve">Zodo 8. 5 inch LCD E-Writer Electronic Writing Pad/Tablet Drawing Board (Paperless Memo Digital Tablet)</t>
  </si>
  <si>
    <t xml:space="preserve">B077T3BG5L</t>
  </si>
  <si>
    <t xml:space="preserve">Zebronics ZEB-KM2100 Multimedia USB Keyboard Comes with 114 Keys Including 12 Dedicated Multimedia Keys &amp; with Rupee Key</t>
  </si>
  <si>
    <t xml:space="preserve">B079Y6JZC8</t>
  </si>
  <si>
    <t xml:space="preserve">ZEBRONICS Zeb-Comfort Wired USB Mouse, 3-Button, 1000 DPI Optical Sensor, Plug &amp; Play, for Windows/Mac, Black</t>
  </si>
  <si>
    <t xml:space="preserve">B0856HNMR7</t>
  </si>
  <si>
    <t xml:space="preserve">boAt Rockerz 370 On Ear Bluetooth Headphones with Upto 12 Hours Playtime, Cozy Padded Earcups and Bluetooth v5.0, with Mic (Buoyant Black)</t>
  </si>
  <si>
    <t xml:space="preserve">B0B12K5BPM</t>
  </si>
  <si>
    <t xml:space="preserve">ZEBRONICS Zeb-Astra 20 Wireless BT v5.0 Portable Speaker with 10W RMS Output, TWS, 10H Backup Approx, Built in Rechargeable Battery FM Radio, AUX, mSD, USB, Call Function and Dual 52mm Drivers Multi</t>
  </si>
  <si>
    <t xml:space="preserve">B00LVMTA2A</t>
  </si>
  <si>
    <t xml:space="preserve">Panasonic CR-2032/5BE Lithium Coin Battery - Pack of 5</t>
  </si>
  <si>
    <t xml:space="preserve">B07TR5HSR9</t>
  </si>
  <si>
    <t xml:space="preserve">MemeHo® Smart Standard Multi-Purpose Laptop Table with Dock Stand/Study Table/Bed Table/Foldable and Portable/Ergonomic &amp; Rounded Edges/Non-Slip Legs/Engineered Wood with Cup Holder (Black)</t>
  </si>
  <si>
    <t xml:space="preserve">B0819ZZK5K</t>
  </si>
  <si>
    <t xml:space="preserve">SanDisk Ultra Dual Drive Go USB Type C Pendrive for Mobile (Black, 128 GB, 5Y - SDDDC3-128G-I35)</t>
  </si>
  <si>
    <t xml:space="preserve">B08QJJCY2Q</t>
  </si>
  <si>
    <t xml:space="preserve">Tizum Mouse Pad/ Computer Mouse Mat with Anti-Slip Rubber Base | Smooth Mouse Control | Spill-Resistant Surface for Laptop, Notebook, MacBook, Gaming, Laser/ Optical Mouse, 9.4”x 7.9”, Multicolored</t>
  </si>
  <si>
    <t xml:space="preserve">B07L5L4GTB</t>
  </si>
  <si>
    <t xml:space="preserve">Epson 003 65 ml for EcoTank L1110/L3100/L3101/L3110/L3115/L3116/L3150/L3151/L3152/L3156/L5190 Black Ink Bottle</t>
  </si>
  <si>
    <t xml:space="preserve">B07L8KNP5F</t>
  </si>
  <si>
    <t xml:space="preserve">ZEBRONICS Zeb-Thunder Bluetooth Wireless Over Ear Headphone FM, mSD, 9 hrs Playback with Mic (Black)</t>
  </si>
  <si>
    <t xml:space="preserve">B08CF4SCNP</t>
  </si>
  <si>
    <t xml:space="preserve">Quantum QHM-7406 Full-Sized Keyboard with (₹) Rupee Symbol, Hotkeys and 3-pieces LED function for Desktop/Laptop/Smart TV Spill-Resistant Wired USB Keyboard with 10 million keystrokes lifespan (Black)</t>
  </si>
  <si>
    <t xml:space="preserve">B09XX51X2G</t>
  </si>
  <si>
    <t xml:space="preserve">STRIFF Laptop Tabletop Stand, Fold-Up, Adjustable, Ventilated, Portable Holder for Desk, Aluminum Foldable Laptop Ergonomic Compatibility with up to 15.6-inch Laptop, All Mac, Tab, and Mobile (Silver)</t>
  </si>
  <si>
    <t xml:space="preserve">B01M72LILF</t>
  </si>
  <si>
    <t xml:space="preserve">Logitech M221 Wireless Mouse, Silent Buttons, 2.4 GHz with USB Mini Receiver, 1000 DPI Optical Tracking, 18-Month Battery Life, Ambidextrous PC / Mac / Laptop - Charcoal Grey</t>
  </si>
  <si>
    <t xml:space="preserve">B00LZLQ624</t>
  </si>
  <si>
    <t xml:space="preserve">Classmate Soft Cover 6 Subject Spiral Binding Notebook, Single Line, 300 Pages</t>
  </si>
  <si>
    <t xml:space="preserve">B09GB5B4BK</t>
  </si>
  <si>
    <t xml:space="preserve">HP 150 Wireless USB Mouse with Ergonomic and ambidextrous Design, 1600 DPI Optical Tracking, 2.4 GHz Wireless connectivity, Dual-Function Scroll Wheel and 12 Month Long Battery Life. 3-Years Warranty.</t>
  </si>
  <si>
    <t xml:space="preserve">B015ZXUDD0</t>
  </si>
  <si>
    <t xml:space="preserve">Duracell Rechargeable AA 1300mAh Batteries, 4Pcs</t>
  </si>
  <si>
    <t xml:space="preserve">B09PL79D2X</t>
  </si>
  <si>
    <t xml:space="preserve">boAt Airdopes 181 in-Ear True Wireless Earbuds with ENx  Tech, Beast  Mode(Low Latency Upto 60ms) for Gaming, with Mic, ASAP  Charge, 20H Playtime, Bluetooth v5.2, IPX4 &amp; IWP (Cool Grey)</t>
  </si>
  <si>
    <t xml:space="preserve">B098K3H92Z</t>
  </si>
  <si>
    <t xml:space="preserve">TP-Link USB Bluetooth Adapter for PC, 5.0 Bluetooth Dongle Receiver (UB500) Supports Windows 11/10/8.1/7 for Desktop, Laptop, Mouse, Keyboard, Printers, Headsets, Speakers, PS4/ Xbox Controllers</t>
  </si>
  <si>
    <t xml:space="preserve">B084PJSSQ1</t>
  </si>
  <si>
    <t xml:space="preserve">SanDisk Ultra Dual Drive Luxe USB Type C Flash Drive (Silver, 128 GB, 5Y - SDDDC4-128G-I35)</t>
  </si>
  <si>
    <t xml:space="preserve">B097C564GC</t>
  </si>
  <si>
    <t xml:space="preserve">rts [2 Pack] Mini USB C Type C Adapter Plug, Type C Female to USB A Male Charger Charging Cable Adapter Converter compatible for iPhone, Samsung S20 ultra/S21/S10/S8/S9/MacBook Pro iPad Silver</t>
  </si>
  <si>
    <t xml:space="preserve">B08CYNJ5KY</t>
  </si>
  <si>
    <t xml:space="preserve">HP 682 Black Original Ink Cartridge</t>
  </si>
  <si>
    <t xml:space="preserve">B00Y4ORQ46</t>
  </si>
  <si>
    <t xml:space="preserve">Logitech H111 Wired On Ear Headphones With Mic Black</t>
  </si>
  <si>
    <t xml:space="preserve">B074CWD7MS</t>
  </si>
  <si>
    <t xml:space="preserve">Digitek DTR 550 LW (67 Inch) Tripod For DSLR, Camera |Operating Height: 5.57 Feet | Maximum Load Capacity up to 4.5kg | Portable Lightweight Aluminum Tripod with 360 Degree Ball Head | Carry Bag Included (Black) (DTR 550LW)</t>
  </si>
  <si>
    <t xml:space="preserve">B00A0VCJPI</t>
  </si>
  <si>
    <t xml:space="preserve">TP-Link TL-WA850RE Single_Band 300Mbps RJ45 Wireless Range Extender, Broadband/Wi-Fi Extender, Wi-Fi Booster/Hotspot with 1 Ethernet Port, Plug and Play, Built-in Access Point Mode, White</t>
  </si>
  <si>
    <t xml:space="preserve">B00UGZWM2I</t>
  </si>
  <si>
    <t xml:space="preserve">COI Note Pad/Memo Book with Sticky Notes &amp; Clip Holder with Pen for Gifting</t>
  </si>
  <si>
    <t xml:space="preserve">B00R1P3B4O</t>
  </si>
  <si>
    <t xml:space="preserve">Fujifilm Instax Mini Single Pack 10 Sheets Instant Film for Fuji Instant Cameras</t>
  </si>
  <si>
    <t xml:space="preserve">B09DG9VNWB</t>
  </si>
  <si>
    <t xml:space="preserve">Samsung Galaxy Watch4 Bluetooth(4.4 cm, Black, Compatible with Android only)</t>
  </si>
  <si>
    <t xml:space="preserve">B09Y5MP7C4</t>
  </si>
  <si>
    <t xml:space="preserve">Noise Buds Vs104 Bluetooth Truly Wireless in Ear Earbuds with Mic, 30-Hours of Playtime, Instacharge, 13Mm Driver and Hyper Sync (Charcoal Black)</t>
  </si>
  <si>
    <t xml:space="preserve">B01DJJVFPC</t>
  </si>
  <si>
    <t xml:space="preserve">Duracell Ultra Alkaline AAA Battery, 8 Pcs</t>
  </si>
  <si>
    <t xml:space="preserve">B07DFYJRQV</t>
  </si>
  <si>
    <t xml:space="preserve">JBL C200SI, Premium in Ear Wired Earphones with Mic, Signature Sound, One Button Multi-Function Remote, Angled Earbuds for Comfort fit (Blue)</t>
  </si>
  <si>
    <t xml:space="preserve">B08L879JSN</t>
  </si>
  <si>
    <t xml:space="preserve">Acer EK220Q 21.5 Inch (54.61 cm) Full HD (1920x1080) VA Panel LCD Monitor with LED Back Light I 250 Nits I HDMI, VGA Ports I Eye Care Features Like Bluelight Shield, Flickerless &amp; Comfy View (Black)</t>
  </si>
  <si>
    <t xml:space="preserve">Monitors</t>
  </si>
  <si>
    <t xml:space="preserve">B08TDJNM3G</t>
  </si>
  <si>
    <t xml:space="preserve">E-COSMOS 5V 1.2W Portable Flexible USB LED Light (Colors May Vary, Small) - Set of 2 Pieces</t>
  </si>
  <si>
    <t xml:space="preserve">B06XSK3XL6</t>
  </si>
  <si>
    <t xml:space="preserve">boAt Dual Port Rapid Car Charger (Qualcomm Certified) with Quick Charge 3.0 + Free Micro USB Cable - (Black)</t>
  </si>
  <si>
    <t xml:space="preserve">B07YNTJ8ZM</t>
  </si>
  <si>
    <t xml:space="preserve">Zebronics ZEB-COUNTY 3W Wireless Bluetooth Portable Speaker With Supporting Carry Handle, USB, SD Card, AUX, FM &amp; Call Function. (Green)</t>
  </si>
  <si>
    <t xml:space="preserve">B07KR5P3YD</t>
  </si>
  <si>
    <t xml:space="preserve">Zebronics Wired Keyboard and Mouse Combo with 104 Keys and a USB Mouse with 1200 DPI - JUDWAA 750</t>
  </si>
  <si>
    <t xml:space="preserve">B08FB2LNSZ</t>
  </si>
  <si>
    <t xml:space="preserve">JBL Tune 215BT, 16 Hrs Playtime with Quick Charge, in Ear Bluetooth Wireless Earphones with Mic, 12.5mm Premium Earbuds with Pure Bass, BT 5.0, Dual Pairing, Type C &amp; Voice Assistant Support (Black)</t>
  </si>
  <si>
    <t xml:space="preserve">B01IBRHE3E</t>
  </si>
  <si>
    <t xml:space="preserve">Gizga Essentials Professional 3-in-1 Cleaning Kit for Camera, Lens, Binocular, Laptop, TV, Monitor, Smartphone, Tablet (Includes: Cleaning Liquid 100ml, Plush Microfiber Cloth, Dust Removal Brush)</t>
  </si>
  <si>
    <t xml:space="preserve">B01N6LU1VF</t>
  </si>
  <si>
    <t xml:space="preserve">SanDisk Ultra Dual 64 GB USB 3.0 OTG Pen Drive (Black)</t>
  </si>
  <si>
    <t xml:space="preserve">B07XLML2YS</t>
  </si>
  <si>
    <t xml:space="preserve">TP-Link Tapo 360° 2MP 1080p Full HD Pan/Tilt Home Security Wi-Fi Smart Camera| Alexa Enabled| 2-Way Audio| Night Vision| Motion Detection| Sound and Light Alarm| Indoor CCTV (Tapo C200) White</t>
  </si>
  <si>
    <t xml:space="preserve">B086WMSCN3</t>
  </si>
  <si>
    <t xml:space="preserve">boAt Airdopes 171 in Ear Bluetooth True Wireless Earbuds with Upto 13 Hours Battery, IPX4, Bluetooth v5.0, Dual Tone Finish with Mic (Mysterious Blue)</t>
  </si>
  <si>
    <t xml:space="preserve">B003B00484</t>
  </si>
  <si>
    <t xml:space="preserve">Duracell Plus AAA Rechargeable Batteries (750 mAh) Pack of 4</t>
  </si>
  <si>
    <t xml:space="preserve">B003L62T7W</t>
  </si>
  <si>
    <t xml:space="preserve">Logitech B100 Wired USB Mouse, 3 yr Warranty, 800 DPI Optical Tracking, Ambidextrous PC/Mac/Laptop - Black</t>
  </si>
  <si>
    <t xml:space="preserve">B09P18XVW6</t>
  </si>
  <si>
    <t xml:space="preserve">Noise Pulse Buzz 1.69" Bluetooth Calling Smart Watch with Call Function, 150 Watch Faces, 60 Sports Modes, Spo2 &amp; Heart Rate Monitoring, Calling Smart Watch for Men &amp; Women - Jet Black</t>
  </si>
  <si>
    <t xml:space="preserve">B00LZLPYHW</t>
  </si>
  <si>
    <t xml:space="preserve">Classmate 2100117 Soft Cover 6 Subject Spiral Binding Notebook, Single Line, 300 Pages</t>
  </si>
  <si>
    <t xml:space="preserve">B00NNQMYNE</t>
  </si>
  <si>
    <t xml:space="preserve">AirCase Rugged Hard Drive Case for 2.5-inch Western Digital, Seagate, Toshiba, Portable Storage Shell for Gadget Hard Disk USB Cable Power Bank Mobile Charger Earphone, Waterproof (Black)</t>
  </si>
  <si>
    <t xml:space="preserve">B0B217Z5VK</t>
  </si>
  <si>
    <t xml:space="preserve">Noise Buds VS402 Truly Wireless in Ear Earbuds, 35-Hours of Playtime, Instacharge, Quad Mic with ENC, Hyper Sync, Low Latency, 10mm Driver, Bluetooth v5.3 and Breathing LED Lights (Neon Black)</t>
  </si>
  <si>
    <t xml:space="preserve">B07B88KQZ8</t>
  </si>
  <si>
    <t xml:space="preserve">JBL Go 2, Wireless Portable Bluetooth Speaker with Mic, JBL Signature Sound, Vibrant Color Options with IPX7 Waterproof &amp; AUX (Blue)</t>
  </si>
  <si>
    <t xml:space="preserve">B07Z3K96FR</t>
  </si>
  <si>
    <t xml:space="preserve">Robustrion Tempered Glass Screen Protector for iPad 10.2 inch 9th Gen Generation 2021 8th Gen 2020 7th Gen 2019</t>
  </si>
  <si>
    <t xml:space="preserve">B0756CLQWL</t>
  </si>
  <si>
    <t xml:space="preserve">Redgear Pro Wireless Gamepad with 2.4GHz Wireless Technology, Integrated Dual Intensity Motor, Illuminated Keys for PC(Compatible with Windows 7/8/8.1/10 only)</t>
  </si>
  <si>
    <t xml:space="preserve">B004IO5BMQ</t>
  </si>
  <si>
    <t xml:space="preserve">Logitech M235 Wireless Mouse, 1000 DPI Optical Tracking, 12 Month Life Battery, Compatible with Windows, Mac, Chromebook/PC/Laptop</t>
  </si>
  <si>
    <t xml:space="preserve">B01HGCLUH6</t>
  </si>
  <si>
    <t xml:space="preserve">TP-link N300 WiFi Wireless Router TL-WR845N | 300Mbps Wi-Fi Speed | Three 5dBi high gain Antennas | IPv6 Compatible | AP/RE/WISP Mode | Parental Control | Guest Network</t>
  </si>
  <si>
    <t xml:space="preserve">B01N4EV2TL</t>
  </si>
  <si>
    <t xml:space="preserve">Logitech MK240 Nano Wireless USB Keyboard and Mouse Set, 12 Function Keys 2.4GHz Wireless, 1000DPI, Spill-Resistant Design, PC/Mac, Black/Chartreuse Yellow</t>
  </si>
  <si>
    <t xml:space="preserve">B08MZQBFLN</t>
  </si>
  <si>
    <t xml:space="preserve">Callas Multipurpose Foldable Laptop Table with Cup Holder | Drawer | Mac Holder | Table Holder Study Table, Breakfast Table, Foldable and Portable/Ergonomic &amp; Rounded Edges/Non-Slip Legs (WA-27-Black)</t>
  </si>
  <si>
    <t xml:space="preserve">B0752LL57V</t>
  </si>
  <si>
    <t xml:space="preserve">Casio MJ-12D 150 Steps Check and Correct Desktop Calculator</t>
  </si>
  <si>
    <t xml:space="preserve">B09Z28BQZT</t>
  </si>
  <si>
    <t xml:space="preserve">Amazon Basics Multipurpose Foldable Laptop Table with Cup Holder, Brown</t>
  </si>
  <si>
    <t xml:space="preserve">B094DQWV9B</t>
  </si>
  <si>
    <t xml:space="preserve">Kanget [2 Pack] Type C Female to USB A Male Charger | Charging Cable Adapter Converter compatible for iPhone 14, 13, 12,11 Pro Max/Mini/XR/XS/X/SE, Samsung S20 ultra/S21/S10/S8/S9/MacBook Pro iPad (Grey)</t>
  </si>
  <si>
    <t xml:space="preserve">B0BBMPH39N</t>
  </si>
  <si>
    <t xml:space="preserve">Amazon Basics Magic Slate 8.5-inch LCD Writing Tablet with Stylus Pen, for Drawing, Playing, Noting by Kids &amp; Adults, Black</t>
  </si>
  <si>
    <t xml:space="preserve">B097JQ1J5G</t>
  </si>
  <si>
    <t xml:space="preserve">Zebronics ZEB-90HB USB Hub, 4 Ports, Pocket Sized, Plug &amp; Play, for Laptop &amp; Computers</t>
  </si>
  <si>
    <t xml:space="preserve">B07YY1BY5B</t>
  </si>
  <si>
    <t xml:space="preserve">Noise ColorFit Pro 2 Full Touch Control Smart Watch with 35g Weight &amp; Upgraded LCD Display,IP68 Waterproof,Heart Rate Monitor,Sleep &amp; Step Tracker,Call &amp; Message Alerts &amp; Long Battery Life (Jet Black)</t>
  </si>
  <si>
    <t xml:space="preserve">B08VRMK55F</t>
  </si>
  <si>
    <t xml:space="preserve">Zebronics Zeb Buds C2 in Ear Type C Wired Earphones with Mic, Braided 1.2 Metre Cable, Metallic Design, 10mm Drivers, in Line Mic &amp; Volume Controller (Blue)</t>
  </si>
  <si>
    <t xml:space="preserve">B08CHZ3ZQ7</t>
  </si>
  <si>
    <t xml:space="preserve">Redgear A-15 Wired Gaming Mouse with Upto 6400 DPI, RGB &amp; Driver Customization for PC(Black)</t>
  </si>
  <si>
    <t xml:space="preserve">B08SCCG9D4</t>
  </si>
  <si>
    <t xml:space="preserve">JBL Commercial CSLM20B Auxiliary Omnidirectional Lavalier Microphone with Battery for Content Creation, Voiceover/Dubbing, Recording (Black,Small)</t>
  </si>
  <si>
    <t xml:space="preserve">B0972BQ2RS</t>
  </si>
  <si>
    <t xml:space="preserve">Fire-Boltt India's No 1 Smartwatch Brand Ring Bluetooth Calling with SpO2 &amp; 1.7” Metal Body with Blood Oxygen Monitoring, Continuous Heart Rate, Full Touch &amp; Multiple Watch Faces</t>
  </si>
  <si>
    <t xml:space="preserve">B00ZRBWPA0</t>
  </si>
  <si>
    <t xml:space="preserve">Eveready Red 1012 AAA Batteries - Pack of 10</t>
  </si>
  <si>
    <t xml:space="preserve">B0B2DD66GS</t>
  </si>
  <si>
    <t xml:space="preserve">SanDisk Extreme microSD UHS I Card 128GB for 4K Video on Smartphones,Action Cams 190MB/s Read,90MB/s Write</t>
  </si>
  <si>
    <t xml:space="preserve">B09M869Z5V</t>
  </si>
  <si>
    <t xml:space="preserve">Portronics MPORT 31C 4-in-1 USB Hub (Type C to 4 USB-A Ports) with Fast Data Transfer</t>
  </si>
  <si>
    <t xml:space="preserve">B07W6VWZ8C</t>
  </si>
  <si>
    <t xml:space="preserve">Infinity (JBL Fuze Pint, Wireless Ultra Portable Mini Speaker with Mic, Deep Bass, Dual Equalizer, Bluetooth 5.0 with Voice Assistant Support for Mobiles (Black)</t>
  </si>
  <si>
    <t xml:space="preserve">B07Z1X6VFC</t>
  </si>
  <si>
    <t xml:space="preserve">AirCase Protective Laptop Bag Sleeve fits Upto 13.3" Laptop/ MacBook, Wrinkle Free, Padded, Waterproof Light Neoprene case Cover Pouch, for Men &amp; Women, Black- 6 Months Warranty</t>
  </si>
  <si>
    <t xml:space="preserve">B07YL54NVJ</t>
  </si>
  <si>
    <t xml:space="preserve">Brand Conquer 6 in 1 with OTG, SD Card Reader, USB Type C, USB 3.0 and Micro USB, for Memory Card | Portable Card Reader | Compatible with TF, SD, Micro SD, SDHC, SDXC, MMC, RS-MMC, Micro SDXC</t>
  </si>
  <si>
    <t xml:space="preserve">B0759QMF85</t>
  </si>
  <si>
    <t xml:space="preserve">TP-Link AC750 Dual Band Wireless Cable Router, 4 10/100 LAN + 10/100 WAN Ports, Support Guest Network and Parental Control, 750Mbps Speed Wi-Fi, 3 Antennas (Archer C20) Blue, 2.4 GHz</t>
  </si>
  <si>
    <t xml:space="preserve">B00LM4X0KU</t>
  </si>
  <si>
    <t xml:space="preserve">Parker Quink Ink Bottle, Blue</t>
  </si>
  <si>
    <t xml:space="preserve">B08PFSZ7FH</t>
  </si>
  <si>
    <t xml:space="preserve">STRIFF Laptop Stand Adjustable Laptop Computer Stand Multi-Angle Stand Phone Stand Portable Foldable Laptop Riser Notebook Holder Stand Compatible for 9 to 15.6” Laptops Black(Black)</t>
  </si>
  <si>
    <t xml:space="preserve">B012MQS060</t>
  </si>
  <si>
    <t xml:space="preserve">Logitech MK215 Wireless Keyboard and Mouse Combo for Windows, 2.4 GHz Wireless, Compact Design, 2-Year Battery Life(Keyboard),5 Month Battery Life(Mouse) PC/Laptop- Black</t>
  </si>
  <si>
    <t xml:space="preserve">B01MF8MB65</t>
  </si>
  <si>
    <t xml:space="preserve">boAt Bassheads 225 in Ear Wired Earphones with Mic(Blue)</t>
  </si>
  <si>
    <t xml:space="preserve">B00LHZWD0C</t>
  </si>
  <si>
    <t xml:space="preserve">Luxor 5 Subject Single Ruled Notebook - A4, 70 GSM, 300 pages</t>
  </si>
  <si>
    <t xml:space="preserve">B08QDPB1SL</t>
  </si>
  <si>
    <t xml:space="preserve">Duracell Chhota Power AA Battery Set of 10 Pcs</t>
  </si>
  <si>
    <t xml:space="preserve">B07BRKK9JQ</t>
  </si>
  <si>
    <t xml:space="preserve">Zebronics Zeb-Transformer Gaming Keyboard and Mouse Combo (USB, Braided Cable)</t>
  </si>
  <si>
    <t xml:space="preserve">B01EZ0X3L8</t>
  </si>
  <si>
    <t xml:space="preserve">SanDisk Ultra 64 GB USB Pen Drives (SDDDC2-064G-I35, Black, Silver)</t>
  </si>
  <si>
    <t xml:space="preserve">B00LM4W1N2</t>
  </si>
  <si>
    <t xml:space="preserve">Parker Classic Gold Gold Trim Ball Pen</t>
  </si>
  <si>
    <t xml:space="preserve">B08YD264ZS</t>
  </si>
  <si>
    <t xml:space="preserve">Tarkan Portable Folding Laptop Desk for Bed, Lapdesk with Handle, Drawer, Cup &amp; Mobile/Tablet Holder for Study, Eating, Work (Black)</t>
  </si>
  <si>
    <t xml:space="preserve">B00GZLB57U</t>
  </si>
  <si>
    <t xml:space="preserve">Quantum RJ45 Ethernet Patch Cable/LAN Router Cable with Heavy Duty Gold Plated Connectors Supports Hi-Speed Gigabit Upto 1000Mbps, Waterproof and Durable,1-Year Warranty-32.8 Feet (10 Meters)(White)</t>
  </si>
  <si>
    <t xml:space="preserve">B07V82W5CN</t>
  </si>
  <si>
    <t xml:space="preserve">HP USB Wireless Spill Resistance Keyboard and Mouse Set with 10m Working Range 2.4G Wireless Technology / 3 Years Warranty (4SC12PA), Black</t>
  </si>
  <si>
    <t xml:space="preserve">B08HD7JQHX</t>
  </si>
  <si>
    <t xml:space="preserve">HUMBLE Dynamic Lapel Collar Mic Voice Recording Filter Microphone for Singing Youtube SmartPhones, Black</t>
  </si>
  <si>
    <t xml:space="preserve">B0B31FR4Y2</t>
  </si>
  <si>
    <t xml:space="preserve">Boult Audio Omega with 30dB ANC+ ENC, 32H Playtime, 45ms Latency Gaming Mode, Quad Mic Zen ENC, 3 Equalizer Modes, ANC, Type-C Fast Charging, IPX5 True Wireless in Ear Bluetooth Earbuds (Black)</t>
  </si>
  <si>
    <t xml:space="preserve">B09Y14JLP3</t>
  </si>
  <si>
    <t xml:space="preserve">STRIFF UPH2W Multi Angle Tablet/Mobile Stand. Holder for iPhone, Android, Samsung, OnePlus, Xiaomi. Portable,Foldable Stand.Perfect for Bed,Office, Home,Gift and Desktop (White)</t>
  </si>
  <si>
    <t xml:space="preserve">B09ZHCJDP1</t>
  </si>
  <si>
    <t xml:space="preserve">Amazon Basics Wireless Mouse | 2.4 GHz Connection, 1600 DPI | Type - C Adapter | Upto 12 Months of Battery Life | Ambidextrous Design | Suitable for PC/Mac/Laptop</t>
  </si>
  <si>
    <t xml:space="preserve">B08C4Z69LN</t>
  </si>
  <si>
    <t xml:space="preserve">Crucial RAM 8GB DDR4 3200MHz CL22 (or 2933MHz or 2666MHz) Laptop Memory CT8G4SFRA32A</t>
  </si>
  <si>
    <t xml:space="preserve">Components</t>
  </si>
  <si>
    <t xml:space="preserve">B016XVRKZM</t>
  </si>
  <si>
    <t xml:space="preserve">APC Back-UPS BX600C-IN 600VA / 360W, 230V, UPS System, an Ideal Power Backup &amp; Protection for Home Office, Desktop PC &amp; Home Electronics</t>
  </si>
  <si>
    <t xml:space="preserve">B00LHZW3XY</t>
  </si>
  <si>
    <t xml:space="preserve">Luxor 5 Subject Single Ruled Notebook - A5 Size, 70 GSM, 300 Pages</t>
  </si>
  <si>
    <t xml:space="preserve">B098JYT4SY</t>
  </si>
  <si>
    <t xml:space="preserve">Zebronics Zeb-Jaguar Wireless Mouse, 2.4GHz with USB Nano Receiver, High Precision Optical Tracking, 4 Buttons, Plug &amp; Play, Ambidextrous, for PC/Mac/Laptop (Black+Grey)</t>
  </si>
  <si>
    <t xml:space="preserve">B08CFCK6CW</t>
  </si>
  <si>
    <t xml:space="preserve">Boult Audio Truebuds with 30H Playtime, IPX7 Waterproof, Lightning Boult™ Type C Fast Charging (10 Min=100Mins), BoomX™ Tech Rich Bass, Pro+ Calling HD Mic, Touch Controls in Ear Earbuds TWS (Grey)</t>
  </si>
  <si>
    <t xml:space="preserve">B09P564ZTJ</t>
  </si>
  <si>
    <t xml:space="preserve">Wembley LCD Writing Pad/Tab | Writing, Drawing, Reusable, Portable Pad with Colorful Letters | 9 Inch Graphic Tablet (Assorted)</t>
  </si>
  <si>
    <t xml:space="preserve">B07MSLTW8Z</t>
  </si>
  <si>
    <t xml:space="preserve">Gizga Essentials Multi-Purpose Portable &amp; Foldable Wooden Desk for Bed Tray, Laptop Table, Study Table (Black)</t>
  </si>
  <si>
    <t xml:space="preserve">B09N6TTHT6</t>
  </si>
  <si>
    <t xml:space="preserve">E-COSMOS Plug in LED Night Light Mini USB LED Light Flexible USB LED Ambient Light Mini USB LED Light, LED Portable car Bulb, Indoor, Outdoor, Reading, Sleep (4 pcs)</t>
  </si>
  <si>
    <t xml:space="preserve">B098R25TGC</t>
  </si>
  <si>
    <t xml:space="preserve">Noise Buds VS201 V2 in-Ear Truly Wireless Earbuds with Dual Equalizer | with Mic | Total 14-Hour Playtime | Full Touch Control | IPX5 Water Resistance and Bluetooth v5.1 (Olive Green)</t>
  </si>
  <si>
    <t xml:space="preserve">B0B2PQL5N3</t>
  </si>
  <si>
    <t xml:space="preserve">Lapster Gel Mouse pad with Wrist Rest , Gaming Mouse Pad with Lycra Cloth Nonslip for Laptop , Computer, , Home &amp; Office (Black)</t>
  </si>
  <si>
    <t xml:space="preserve">B07DKZCZ89</t>
  </si>
  <si>
    <t xml:space="preserve">Gizga Essentials Earphone Carrying Case, Multi-Purpose Pocket Storage Travel Organizer for Earphones, Headset, Pen Drives, SD Cards, Shock-Proof Ballistic Nylon, Soft Fabric, Mesh Pocket, Green</t>
  </si>
  <si>
    <t xml:space="preserve">B08GYG6T12</t>
  </si>
  <si>
    <t xml:space="preserve">SanDisk Ultra SDHC UHS-I Card 32GB 120MB/s R for DSLR Cameras, for Full HD Recording, 10Y Warranty</t>
  </si>
  <si>
    <t xml:space="preserve">B09BN2NPBD</t>
  </si>
  <si>
    <t xml:space="preserve">DIGITEK® (DRL-14C) Professional (31cm) Dual Temperature LED Ring Light with Tripod Stand &amp; Mini Tripod for YouTube, Photo-Shoot, Video Shoot, Live Stream, Makeup, Vlogging &amp; More</t>
  </si>
  <si>
    <t xml:space="preserve">B00J4YG0PC</t>
  </si>
  <si>
    <t xml:space="preserve">Classmate Long Notebook - 140 Pages, Single Line, 297mm x 210mm (Pack of 12)</t>
  </si>
  <si>
    <t xml:space="preserve">B073BRXPZX</t>
  </si>
  <si>
    <t xml:space="preserve">Lenovo 300 Wired Plug &amp; Play USB Mouse, High Resolution 1600 DPI Optical Sensor, 3-Button Design with clickable Scroll Wheel, Ambidextrous, Ergonomic Mouse for Comfortable All-Day Grip (GX30M39704)</t>
  </si>
  <si>
    <t xml:space="preserve">B08LHTJTBB</t>
  </si>
  <si>
    <t xml:space="preserve">Dyazo 6 Angles Adjustable Aluminum Ergonomic Foldable Portable Tabletop Laptop/Desktop Riser Stand Holder Compatible for MacBook, HP, Dell, Lenovo &amp; All Other Notebook (Silver)</t>
  </si>
  <si>
    <t xml:space="preserve">B07VTFN6HM</t>
  </si>
  <si>
    <t xml:space="preserve">Western Digital WD 2TB My Passport Portable Hard Disk Drive, USB 3.0 with  Automatic Backup, 256 Bit AES Hardware Encryption,Password Protection,Compatible with Windows and Mac, External HDD-Black</t>
  </si>
  <si>
    <t xml:space="preserve">B008QS9J6Y</t>
  </si>
  <si>
    <t xml:space="preserve">Logitech C270 Digital HD Webcam with Widescreen HD Video Calling, HD Light Correction, Noise-Reducing Mic, for Skype, FaceTime, Hangouts, WebEx, PC/Mac/Laptop/MacBook/Tablet - (Black, HD 720p/30fps)</t>
  </si>
  <si>
    <t xml:space="preserve">B09M8888DM</t>
  </si>
  <si>
    <t xml:space="preserve">Portronics MPORT 31 4 Ports USB Hub (USB A to 4 USB-A Ports 4 in 1 Connector USB HUB(Grey)</t>
  </si>
  <si>
    <t xml:space="preserve">B07Z1YVP72</t>
  </si>
  <si>
    <t xml:space="preserve">AirCase Protective Laptop Bag Sleeve fits Upto 15.6" Laptop/ MacBook, Wrinkle Free, Padded, Waterproof Light Neoprene case Cover Pouch, for Men &amp; Women, Black- 6 Months Warranty</t>
  </si>
  <si>
    <t xml:space="preserve">B082FTPRSK</t>
  </si>
  <si>
    <t xml:space="preserve">Zinq Five Fan Cooling Pad and Laptop Stand with Dual Height Adjustment and Dual USB Port Extension (Black)</t>
  </si>
  <si>
    <t xml:space="preserve">B09RF2QXGX</t>
  </si>
  <si>
    <t xml:space="preserve">Gizga Essentials Webcam Cover, Privacy Protector Webcam Cover Slide, Compatible with Laptop, Desktop, PC, Smartphone, Protect Your Privacy and Security, Strong Adhesive, Set of 3, Black</t>
  </si>
  <si>
    <t xml:space="preserve">B01KK0HU3Y</t>
  </si>
  <si>
    <t xml:space="preserve">HP Z3700 Wireless Optical Mouse with USB Receiver and 2.4GHz Wireless Connection/ 1200DPI / 16 Months Long Battery Life /Ambidextrous and Slim Design (Modern Gold)</t>
  </si>
  <si>
    <t xml:space="preserve">B07JF9B592</t>
  </si>
  <si>
    <t xml:space="preserve">MAONO AU-400 Lavalier Auxiliary Omnidirectional Microphone (Black)</t>
  </si>
  <si>
    <t xml:space="preserve">B086394NY5</t>
  </si>
  <si>
    <t xml:space="preserve">TABLE MAGIC Multipurpose Laptop Table Mat Finish Top Work at Home Study Table (TM Regular- Black) (Alloy Steel)</t>
  </si>
  <si>
    <t xml:space="preserve">B017PDR9N0</t>
  </si>
  <si>
    <t xml:space="preserve">GIZGA Essentials Portable Tabletop Tablet Stand Mobile Holder, Desktop Stand, Cradle, Dock for iPad, Smartphone, Kindle, E-Reader, Fully Foldable, Adjustable Angle, Anti-Slip Pads, Black</t>
  </si>
  <si>
    <t xml:space="preserve">B07NC12T2R</t>
  </si>
  <si>
    <t xml:space="preserve">boAt Stone 650 10W Bluetooth Speaker with Upto 7 Hours Playback, IPX5 and Integrated Controls (Blue)</t>
  </si>
  <si>
    <t xml:space="preserve">B07WKBD37W</t>
  </si>
  <si>
    <t xml:space="preserve">ESnipe Mart Worldwide Travel Adapter with Build in Dual USB Charger Ports with 125V 6A, 250V Protected Electrical Plug for Laptops, Cameras (White)</t>
  </si>
  <si>
    <t xml:space="preserve">Electrical</t>
  </si>
  <si>
    <t xml:space="preserve">B08JMC1988</t>
  </si>
  <si>
    <t xml:space="preserve">boAt Stone 180 5W Bluetooth Speaker with Upto 10 Hours Playback, 1.75" Driver, IPX7 &amp; TWS Feature(Black)</t>
  </si>
  <si>
    <t xml:space="preserve">B09GFN8WZL</t>
  </si>
  <si>
    <t xml:space="preserve">Portronics Ruffpad 8.5M Multicolor LCD Writing Pad with Screen 21.5cm (8.5-inch) for Drawing, Playing, Handwriting Gifts for Kids &amp; Adults, India's first notepad to save and share your child's first creatives via Ruffpad app on your Smartphone(Black)</t>
  </si>
  <si>
    <t xml:space="preserve">B095X38CJS</t>
  </si>
  <si>
    <t xml:space="preserve">BRUSTRO Copytinta Coloured Craft Paper A4 Size 80 GSM Mixed Bright Colour 40 Sheets Pack (10 cols X 4 Sheets) Double Side Color for Office Printing, Art and Craft.</t>
  </si>
  <si>
    <t xml:space="preserve">B07ZKD8T1Q</t>
  </si>
  <si>
    <t xml:space="preserve">Cuzor 12V Mini ups for WiFi Router | Power Backup up to 4 Hours | Replaceable Battery | Ups for Wi-Fi Router and Modem | Ups for Router up to 2A | ups for uninterrupted wi-fi</t>
  </si>
  <si>
    <t xml:space="preserve">B07G3YNLJB</t>
  </si>
  <si>
    <t xml:space="preserve">Crucial BX500 240GB 3D NAND SATA 6.35 cm (2.5-inch) SSD (CT240BX500SSD1)</t>
  </si>
  <si>
    <t xml:space="preserve">B00P93X2H6</t>
  </si>
  <si>
    <t xml:space="preserve">Classmate Pulse Spiral Notebook - 240 mm x 180 mm, Soft Cover, 200 Pages, Unruled</t>
  </si>
  <si>
    <t xml:space="preserve">B0798PJPCL</t>
  </si>
  <si>
    <t xml:space="preserve">Portronics My buddy plus Adjustable Laptop cooling Table (Brown)</t>
  </si>
  <si>
    <t xml:space="preserve">B09GFWJDY1</t>
  </si>
  <si>
    <t xml:space="preserve">ZEBRONICS Zeb-Evolve Wireless in Ear Neckband Earphone with Supporting Bluetooth v5.0, Voice Assistant, Rapid Charge, Call Function &amp; Magnetic Earpiece, with mic (Metallic Blue)</t>
  </si>
  <si>
    <t xml:space="preserve">B09MZ6WZ6V</t>
  </si>
  <si>
    <t xml:space="preserve">INOVERA World Map Extended Anti Slip Rubber Gaming Stitched Mouse Pad Desk Mat for Computer Laptop (Black, 900L x 400B x 2H mm)</t>
  </si>
  <si>
    <t xml:space="preserve">B094QZLJQ6</t>
  </si>
  <si>
    <t xml:space="preserve">Seagate One Touch 2TB External HDD with Password Protection – Black, for Windows and Mac, with 3 yr Data Recovery Services, and 4 Months Adobe CC Photography (STKY2000400)</t>
  </si>
  <si>
    <t xml:space="preserve">B07L3NDN24</t>
  </si>
  <si>
    <t xml:space="preserve">ZEBRONICS Zeb-Fame 5watts 2.0 Multi Media Speakers with AUX, USB and Volume Control (Black)</t>
  </si>
  <si>
    <t xml:space="preserve">B08WD18LJZ</t>
  </si>
  <si>
    <t xml:space="preserve">TVARA LCD Writing Tablet 8.5 Inch E-Note Pad LCD Writing Tablet, Kids Drawing Pad 8.5 Inch Doodle Board, Toddler Boy and Girl Learning Gift for 3 4 5 6 Years Old, Black</t>
  </si>
  <si>
    <t xml:space="preserve">B06XDKWLJH</t>
  </si>
  <si>
    <t xml:space="preserve">Western Digital WD 1.5TB Elements Portable Hard Disk Drive, USB 3.0, Compatible with PC, PS4 and Xbox, External HDD (WDBU6Y0015BBK-WESN)</t>
  </si>
  <si>
    <t xml:space="preserve">B01J1CFO5I</t>
  </si>
  <si>
    <t xml:space="preserve">Redgear MP35 Speed-Type Gaming Mousepad (Black/Red)</t>
  </si>
  <si>
    <t xml:space="preserve">B07J2NGB69</t>
  </si>
  <si>
    <t xml:space="preserve">Lenovo 400 Wireless Mouse, 1200DPI Optical Sensor, 2.4GHz Wireless Nano USB, 3-Button (Left,Right,Scroll) Upto 8M Left/Right &amp; 100K Scroll clicks &amp; 1yr Battery, Ambidextrous, Ergonomic GY50R91293</t>
  </si>
  <si>
    <t xml:space="preserve">B00MUTWLW4</t>
  </si>
  <si>
    <t xml:space="preserve">Logitech K480 Wireless Multi-Device Keyboard for Windows, macOS, iPadOS, Android or Chrome OS, Bluetooth, Compact, Compatible with PC, Mac, Laptop, Smartphone, Tablet - Black</t>
  </si>
  <si>
    <t xml:space="preserve">B017NC2IPM</t>
  </si>
  <si>
    <t xml:space="preserve">RESONATE RouterUPS CRU12V2A | Zero Drop | UPS for WiFi Router | Mini UPS | Up to 4 Hours PowerBackup | Battery Replacement Program | Router UPS Compatible with 12V &lt;2A Routers, FTTH, Modem, Set Top Box, Alexa, Mini Camera</t>
  </si>
  <si>
    <t xml:space="preserve">B00N1U7JXM</t>
  </si>
  <si>
    <t xml:space="preserve">3M Post-it Sticky Note Cube, 200 Sheets (4 Colors x 50 Sheets) | 3" x 3" Size | For notes, reminders, study, school and organizing</t>
  </si>
  <si>
    <t xml:space="preserve">B08HQL67D6</t>
  </si>
  <si>
    <t xml:space="preserve">OFIXO Multi-Purpose Laptop Table/Study Table/Bed Table/Foldable and Portable Wooden/Writing Desk (Wooden)</t>
  </si>
  <si>
    <t xml:space="preserve">B09RKFBCV7</t>
  </si>
  <si>
    <t xml:space="preserve">Fire-Boltt Ninja Calling 1.69" Bluetooth Calling Smart Watch, Dial Pad, Speaker, AI Voice Assistant with 450 NITS Peak Brightness, Wrist Gaming &amp; 100+ Watch Faces with SpO2, HR, Multiple Sports Mode</t>
  </si>
  <si>
    <t xml:space="preserve">B08KHM9VBJ</t>
  </si>
  <si>
    <t xml:space="preserve">Airtel AMF-311WW Data Card (Black), 4g Hotspot Support with 2300 Mah Battery</t>
  </si>
  <si>
    <t xml:space="preserve">B01IOZUHRS</t>
  </si>
  <si>
    <t xml:space="preserve">Gizga Essentials Laptop Power Cable Cord- 3 Pin Adapter Isi Certified(1 Meter/3.3 Feet)</t>
  </si>
  <si>
    <t xml:space="preserve">B00CEQEGPI</t>
  </si>
  <si>
    <t xml:space="preserve">Logitech MK270r USB Wireless Keyboard and Mouse Set for Windows, 2.4 GHz Wireless, Spill-resistant Design, 8 Multimedia &amp; Shortcut Keys, 2-Year Battery Life, PC/Laptop- Black</t>
  </si>
  <si>
    <t xml:space="preserve">B08B6XWQ1C</t>
  </si>
  <si>
    <t xml:space="preserve">DIGITEK® (DTR-200MT) (18 CM) Portable &amp; Flexible Mini Tripod with Mobile Holder &amp; 360 Degree Ball Head, For Smart Phones, Compact Cameras, GoPro, Maximum Operating Height: 7.87 Inch, Maximum Load Upto: 1 kgs</t>
  </si>
  <si>
    <t xml:space="preserve">B01DGVKBC6</t>
  </si>
  <si>
    <t xml:space="preserve">FEDUS Cat6 Ethernet Cable, 10 Meter High Speed 550MHZ / 10 Gigabit Speed UTP LAN Cable, Network Cable Internet Cable RJ45 Cable LAN Wire, Patch Computer Cord Gigabit Category 6 Wires for Modem, Router</t>
  </si>
  <si>
    <t xml:space="preserve">B08JD36C6H</t>
  </si>
  <si>
    <t xml:space="preserve">Kingston DataTraveler Exodia DTX/32 GB Pen Drive USB 3.2 Gen 1 (Multicolor)</t>
  </si>
  <si>
    <t xml:space="preserve">B00E3DVQFS</t>
  </si>
  <si>
    <t xml:space="preserve">Duracell Rechargeable AA 2500mAh Batteries, 4 Pcs</t>
  </si>
  <si>
    <t xml:space="preserve">B00BN5SNF0</t>
  </si>
  <si>
    <t xml:space="preserve">ENVIE® (AA10004PLNi-CD) AA Rechargeable Batteries, Low Self Discharge, AA 1000mAh Ni-CD (Pack of 4)</t>
  </si>
  <si>
    <t xml:space="preserve">B09SGGRKV8</t>
  </si>
  <si>
    <t xml:space="preserve">ZEBRONICS Zeb-Buds 30 3.5Mm Stereo Wired in Ear Earphones with Mic for Calling, Volume Control, Multifunction Button, 14Mm Drivers, Stylish Eartip,1.2 Meter Durable Cable and Lightweight Design(Red)</t>
  </si>
  <si>
    <t xml:space="preserve">B084BR3QX8</t>
  </si>
  <si>
    <t xml:space="preserve">LAPSTER Accessories Power Cable Cord 2 Pin Laptop Adapter and Tape Recorder 1.5M</t>
  </si>
  <si>
    <t xml:space="preserve">B09VC2D2WG</t>
  </si>
  <si>
    <t xml:space="preserve">Portronics Ruffpad 12E Re-Writable LCD Writing Pad with 30.4cm (12 inch) Writing Area, Single Tap Erase, Smart Lock, Long Battery Life, India's first notepad to save and share your child's first creatives via Ruffpad app on your Smartphone(Black)</t>
  </si>
  <si>
    <t xml:space="preserve">B09163Q5CD</t>
  </si>
  <si>
    <t xml:space="preserve">Verilux® USB C Hub Multiport Adapter- 6 in 1 Portable Aluminum Type C Hub with 4K HDMI Output, USB 2.0/3.0 Ports, SD/Micro SD Card Reader Compatible for MacBook Pro 2016-2020, MacBook Air 2018-2020, Type-C Devices</t>
  </si>
  <si>
    <t xml:space="preserve">B08K9PX15C</t>
  </si>
  <si>
    <t xml:space="preserve">Zebronics Zeb Wonderbar 10 USB Powered 2.0 Computer Speaker with RGB Lights</t>
  </si>
  <si>
    <t xml:space="preserve">B083RD1J99</t>
  </si>
  <si>
    <t xml:space="preserve">HP Wired Mouse 100 with 1600 DPI Optical Sensor, USB Plug-and -Play,ambidextrous Design, Built-in Scrolling and 3 Handy Buttons. 3-Years Warranty (6VY96AA)</t>
  </si>
  <si>
    <t xml:space="preserve">B09Z7YGV3R</t>
  </si>
  <si>
    <t xml:space="preserve">Anjaney Enterprise Smart Multipurpose Foldable Laptop Table with Cup Holder, Study Table, Bed Table, Breakfast Table, Foldable and Portable/Ergonomic &amp; Rounded Edges/Non-Slip (Black)</t>
  </si>
  <si>
    <t xml:space="preserve">B00N3XLDW0</t>
  </si>
  <si>
    <t xml:space="preserve">ENVIE ECR-20 Charger for AA &amp; AAA Rechargeable Batteries</t>
  </si>
  <si>
    <t xml:space="preserve">B07Z53L5QL</t>
  </si>
  <si>
    <t xml:space="preserve">ProElite Faux Leather Smart Flip Case Cover for Apple iPad 10.2" 9th Gen (2021) / 8th Gen / 7th Gen with Stylus Pen, Black</t>
  </si>
  <si>
    <t xml:space="preserve">B00P93X0VO</t>
  </si>
  <si>
    <t xml:space="preserve">Classmate Pulse 6 Subject Notebook - Unruled, 300 Pages, Spiral Binding, 240mm*180mm</t>
  </si>
  <si>
    <t xml:space="preserve">B07SBGFDX9</t>
  </si>
  <si>
    <t xml:space="preserve">Pentonic Multicolor Ball Point Pen, Pack of 10</t>
  </si>
  <si>
    <t xml:space="preserve">B07X2L5Z8C</t>
  </si>
  <si>
    <t xml:space="preserve">Logitech Pebble M350 Wireless Mouse with Bluetooth or USB - Silent, Slim Computer Mouse with Quiet Click for Laptop, Notebook, PC and Mac - Graphite</t>
  </si>
  <si>
    <t xml:space="preserve">B00VA7YYUO</t>
  </si>
  <si>
    <t xml:space="preserve">Apsara Platinum Pencils Value Pack - Pack of 20</t>
  </si>
  <si>
    <t xml:space="preserve">B07L9FW9GF</t>
  </si>
  <si>
    <t xml:space="preserve">Zebronics Zeb-Power Wired USB Mouse, 3-Button, 1200 DPI Optical Sensor, Plug &amp; Play, for Windows/Mac</t>
  </si>
  <si>
    <t xml:space="preserve">B08D64C9FN</t>
  </si>
  <si>
    <t xml:space="preserve">Ant Esports GM320 RGB Optical Wired Gaming Mouse | 8 Programmable Buttons | 12800 DPI</t>
  </si>
  <si>
    <t xml:space="preserve">B00LOD70SC</t>
  </si>
  <si>
    <t xml:space="preserve">Pilot V7 Liquid Ink Roller Ball Pen (2 Blue + 1 Black)</t>
  </si>
  <si>
    <t xml:space="preserve">B09X76VL5L</t>
  </si>
  <si>
    <t xml:space="preserve">boAt Airdopes 191G True Wireless Earbuds with ENx™ Tech Equipped Quad Mics, Beast™ Mode(Low Latency- 65ms) for Gaming, 2x6mm Dual Drivers, 30H Playtime, IPX5, IWP™, Appealing Case LEDs(Sport Blue)</t>
  </si>
  <si>
    <t xml:space="preserve">B091JF2TFD</t>
  </si>
  <si>
    <t xml:space="preserve">Boult Audio BassBuds Oak in-Ear Wired Earphones with 10mm Extra Bass Driver and HD Sound with mic(Brown)</t>
  </si>
  <si>
    <t xml:space="preserve">B07S7DCJKS</t>
  </si>
  <si>
    <t xml:space="preserve">IT2M Designer Mouse Pad for Laptop/Computer (9.2 X 7.6 Inches, 12788)</t>
  </si>
  <si>
    <t xml:space="preserve">B09NC2TY11</t>
  </si>
  <si>
    <t xml:space="preserve">Noise ColorFit Ultra Buzz Bluetooth Calling Smart Watch with 1.75" HD Display, 320x385 px Resolution, 100 Sports Modes, Stock Market Info Smartwatch for Men &amp; Women (Olive Green)</t>
  </si>
  <si>
    <t xml:space="preserve">B0BDS8MY8J</t>
  </si>
  <si>
    <t xml:space="preserve">Lapster Caddy for ssd and HDD, Optical Bay 2nd Hard Drive Caddy, Caddy 9.5mm for Laptop</t>
  </si>
  <si>
    <t xml:space="preserve">B09X7DY7Q4</t>
  </si>
  <si>
    <t xml:space="preserve">SanDisk Extreme SD UHS I 64GB Card for 4K Video for DSLR and Mirrorless Cameras 170MB/s Read &amp; 80MB/s Write</t>
  </si>
  <si>
    <t xml:space="preserve">B09YV575RK</t>
  </si>
  <si>
    <t xml:space="preserve">Fire-Boltt Ring Pro Bluetooth Calling, 1.75” 320*385px High Res, IP68 &amp; SpO2 Monitoring, Pin Code Locking Functionality &amp; Split Screen Access, Built in Mic &amp; Speaker for HD Calls, Black, Free Size</t>
  </si>
  <si>
    <t xml:space="preserve">B08LW31NQ6</t>
  </si>
  <si>
    <t xml:space="preserve">Lenovo 600 Bluetooth 5.0 Silent Mouse: Compact, Portable, Dongle-Free Multi-Device connectivity with Microsoft Swift Pair | 3-Level Adjustable DPI up to 2400 | Battery Life: up to 1 yr</t>
  </si>
  <si>
    <t xml:space="preserve">B09ND94ZRG</t>
  </si>
  <si>
    <t xml:space="preserve">Boult Audio Airbass Propods X TWS Bluetooth Truly Wireless in Ear Earbuds with Mic, 32H Playtime, Fast Charging Type-C, Ipx5 Water Resistant, Touch Controls and Voice Assistant (Red)</t>
  </si>
  <si>
    <t xml:space="preserve">B00P93X6EK</t>
  </si>
  <si>
    <t xml:space="preserve">Classmate Soft Cover 6 Subject Spiral Binding Notebook, Unruled, 300 Pages</t>
  </si>
  <si>
    <t xml:space="preserve">B0994GP1CX</t>
  </si>
  <si>
    <t xml:space="preserve">LS LAPSTER Quality Assured Universal Silicone 15.6" Keyboard Protector Skin|| Keyboard Dust Cover|| Keyboard Skin for 15.6" Laptop| 15.6" Keyguard| (3.93 x 11.81 x 0.39 inches)</t>
  </si>
  <si>
    <t xml:space="preserve">B07H8W9PB6</t>
  </si>
  <si>
    <t xml:space="preserve">KLAM LCD Writing Tablet Screenwriting Toys Board Smart Digital E-Note Pad 8.5 Inch Light Weight Magic Slate for Drawing Playing Noting by Kids and Adults Best Birthday Gift Girls Boys, Multicolor</t>
  </si>
  <si>
    <t xml:space="preserve">B09NNHFSSF</t>
  </si>
  <si>
    <t xml:space="preserve">CP PLUS 2MP Full HD Smart Wi-fi CCTV Security Camera | 360° with Pan Tilt | Two Way Talk | Cloud Monitor | Motion Detect | Night Vision | Supports SD Card (Up to 128 GB) | Alexa &amp; Ok Google | CP-E21A</t>
  </si>
  <si>
    <t xml:space="preserve">B08D9NDZ1Y</t>
  </si>
  <si>
    <t xml:space="preserve">HP Deskjet 2331 Colour Printer, Scanner and Copier for Home/Small Office, Compact Size, Reliable, Easy Set-Up Through Smart App On Your Pc Connected Through USB, Ideal for Home.</t>
  </si>
  <si>
    <t xml:space="preserve">B0085IATT6</t>
  </si>
  <si>
    <t xml:space="preserve">D-Link DIR-615 Wi-fi Ethernet-N300 Single_band 300Mbps Router, Mobile App Support, Router | AP | Repeater | Client Modes(Black)</t>
  </si>
  <si>
    <t xml:space="preserve">B08WJ86PV2</t>
  </si>
  <si>
    <t xml:space="preserve">RPM Euro Games Gaming Mousepad Speed Type Extended Large (Size - 800 mm x 300 mm x 3 mm)</t>
  </si>
  <si>
    <t xml:space="preserve">B078HRR1XV</t>
  </si>
  <si>
    <t xml:space="preserve">Wacom One by CTL-472/K0-CX Digital Drawing Graphics Pen Tablet (Red &amp; Black) Small (6-inch x 3.5-inch)(15x8cm) | Battery Free Cordless Pen with 2048 Pressure Level</t>
  </si>
  <si>
    <t xml:space="preserve">B09P22HXH6</t>
  </si>
  <si>
    <t xml:space="preserve">Lenovo 300 FHD Webcam with Full Stereo Dual Built-in mics | FHD 1080P 2.1 Megapixel CMOS Camera |Privacy Shutter | Ultra-Wide 95 Lens | 360 Rotation | Flexible Mount, Plug-n-Play | Cloud Grey</t>
  </si>
  <si>
    <t xml:space="preserve">B00LM4X3XE</t>
  </si>
  <si>
    <t xml:space="preserve">Parker Quink Ink Bottle (Black)</t>
  </si>
  <si>
    <t xml:space="preserve">B09YLFHFDW</t>
  </si>
  <si>
    <t xml:space="preserve">Sony WI-C100 Wireless Headphones with Customizable Equalizer for Deep Bass &amp; 25 Hrs Battery, DSEE-Upscale, Splash Proof, 360RA, Fast Pair, in-Ear Bluetooth Headset with mic for Phone Calls (Black)</t>
  </si>
  <si>
    <t xml:space="preserve">B07YWS9SP9</t>
  </si>
  <si>
    <t xml:space="preserve">Zebronics, ZEB-NC3300 USB Powered Laptop Cooling Pad with Dual Fan, Dual USB Port and Blue LED Lights</t>
  </si>
  <si>
    <t xml:space="preserve">B08WLY8V9S</t>
  </si>
  <si>
    <t xml:space="preserve">Tukzer Gel Mouse Pad Wrist Rest Memory-Foam Ergonomic Mousepad| Cushion Wrist Support &amp; Pain Relief| Suitable for Gaming, Computer, Laptop, Home &amp; Office Non-Slip Rubber Base (Blue)</t>
  </si>
  <si>
    <t xml:space="preserve">B0873L7J6X</t>
  </si>
  <si>
    <t xml:space="preserve">Infinity (JBL Glide 510, 72 Hrs Playtime with Quick Charge, Wireless On Ear Headphone with Mic, Deep Bass, Dual Equalizer, Bluetooth 5.0 with Voice Assistant Support (Black)</t>
  </si>
  <si>
    <t xml:space="preserve">B07YNHCW6N</t>
  </si>
  <si>
    <t xml:space="preserve">Robustrion Smart Trifold Hard Back Flip Stand Case Cover for Apple iPad 10.2 Cover iPad 9th Generation Cover 2021 8th Gen 2020 7th Gen 2019 Generation Case - Black</t>
  </si>
  <si>
    <t xml:space="preserve">B01MQ2A86A</t>
  </si>
  <si>
    <t xml:space="preserve">Logitech M331 Silent Plus Wireless Mouse, 2.4GHz with USB Nano Receiver, 1000 DPI Optical Tracking, 3 Buttons, 24 Month Life Battery, PC/Mac/Laptop - Black</t>
  </si>
  <si>
    <t xml:space="preserve">B00KIE28X0</t>
  </si>
  <si>
    <t xml:space="preserve">Camel Artist Acrylic Color Box - 9ml Tubes, 12 Shades</t>
  </si>
  <si>
    <t xml:space="preserve">B0BHYJ8CVF</t>
  </si>
  <si>
    <t xml:space="preserve">Portronics Key2 Combo Multimedia USB Wireless Keyboard and Mouse Set with 2.4 GHz Wireless Technology, Soft &amp; Silent Button, Compact Size (Grey)</t>
  </si>
  <si>
    <t xml:space="preserve">B0BCVJ3PVP</t>
  </si>
  <si>
    <t xml:space="preserve">SupCares Laptop Stand 7 Height Adjustable, Aluminium, Ventilated, Foldable, Portable Laptop Holder for Desk &amp; Table Mount Upto 15.6 inch Laptop with Carry Pouch (Silver)</t>
  </si>
  <si>
    <t xml:space="preserve">B0B2931FCV</t>
  </si>
  <si>
    <t xml:space="preserve">ZEBRONICS Zeb-Sound Bomb N1 True Wireless in Ear Earbuds with Mic ENC, Gaming Mode (up to 50ms), up to 18H Playback, BT V5.2, Fidget Case, Voice Assistant, Splash Proof, Type C (Midnight Black)</t>
  </si>
  <si>
    <t xml:space="preserve">B09TMZ1MF8</t>
  </si>
  <si>
    <t xml:space="preserve">Western Digital WD Green SATA 240GB Internal SSD Solid State Drive - SATA 6Gb/s 2.5 inches - WDS240G3G0A</t>
  </si>
  <si>
    <t xml:space="preserve">B07VV37FT4</t>
  </si>
  <si>
    <t xml:space="preserve">Classmate Octane Neon- 25 Blue Gel Pens | Smooth Writing Pens| Water-proof Ink For Smudge-free Writing| Preferred By Students For Exam &amp; Class Notes| Study At Home Essential</t>
  </si>
  <si>
    <t xml:space="preserve">B07JB2Y4SR</t>
  </si>
  <si>
    <t xml:space="preserve">Classmate Octane Colour Burst-Multicolour Gel Pens (Pack of 10) | Gold &amp; Silver Glitter Sparkle Pens|10 colour ink shades for art lovers and kids|Fun at home essentials</t>
  </si>
  <si>
    <t xml:space="preserve">B08KRMK9LZ</t>
  </si>
  <si>
    <t xml:space="preserve">Tukzer Stylus Pen, iPad Pencil with Palm Rejection Tilt Sensor| 2nd Gen for 2018-2022 iPad 6/7/8/9th Gen; iPad 10.2", Pro 12.9/11", Mini 6/5th, Air 5/4/3rd, Precise for Writing/Drawing (3 Spare Tips)</t>
  </si>
  <si>
    <t xml:space="preserve">B08LT9BMPP</t>
  </si>
  <si>
    <t xml:space="preserve">Logitech G102 USB Light Sync Gaming Mouse with Customizable RGB Lighting, 6 Programmable Buttons, Gaming Grade Sensor, 8K DPI Tracking, 16.8mn Color, Light Weight - Black</t>
  </si>
  <si>
    <t xml:space="preserve">B0814ZY6FP</t>
  </si>
  <si>
    <t xml:space="preserve">Zebronics ZEB-VITA Wireless Bluetooth 10W Portable Bar Speaker With Supporting USB, SD Card, AUX, FM, TWS &amp; Call Function</t>
  </si>
  <si>
    <t xml:space="preserve">B09F3PDDRF</t>
  </si>
  <si>
    <t xml:space="preserve">Lapster USB 3.0 sata Cable for 2.5 inch SSD and HDD , USB 3.0 to SATA III Hard Driver Adapter , sata to USB Cable-(Blue)</t>
  </si>
  <si>
    <t xml:space="preserve">B07X963JNS</t>
  </si>
  <si>
    <t xml:space="preserve">URBN 10000 mAh Lithium Power Bank UPR10K with 12 Watt Fast Charging, Blue</t>
  </si>
  <si>
    <t xml:space="preserve">B09LD3116F</t>
  </si>
  <si>
    <t xml:space="preserve">Qubo Smart Cam 360 from Hero Group | Made in India | 2MP 1080p Full HD | CCTV Wi-Fi Camera | 360 Degree Coverage| Two Way Talk | Mobile App Connectivity | Night Vision | Cloud &amp; SD Card Recording</t>
  </si>
  <si>
    <t xml:space="preserve">B08Y5QJTVK</t>
  </si>
  <si>
    <t xml:space="preserve">Duracell CR2025 3V Lithium Coin Battery, 5 pcs, 2025 Coin Button Cell Battery, DL2025</t>
  </si>
  <si>
    <t xml:space="preserve">B00LY1FN1K</t>
  </si>
  <si>
    <t xml:space="preserve">Camel Fabrica Acrylic Ultra Color - 15ml each, 10 Shades</t>
  </si>
  <si>
    <t xml:space="preserve">B07DJ5KYDZ</t>
  </si>
  <si>
    <t xml:space="preserve">Lenovo GX20L29764 65W Laptop Adapter/Charger with Power Cord for Select Models of Lenovo (Round pin) (Black)</t>
  </si>
  <si>
    <t xml:space="preserve">B009LJ2BXA</t>
  </si>
  <si>
    <t xml:space="preserve">Hp Wired On Ear Headphones With Mic With 3.5 Mm Drivers, In-Built Noise Cancelling, Foldable And Adjustable For Laptop/Pc/Office/Home/ 1 Year Warranty (B4B09Pa)</t>
  </si>
  <si>
    <t xml:space="preserve">B09BVCVTBC</t>
  </si>
  <si>
    <t xml:space="preserve">Redragon K617 Fizz 60% Wired RGB Gaming Keyboard, 61 Keys Compact Mechanical Keyboard w/White and Grey Color Keycaps, Linear Red Switch, Pro Driver/Software Supported</t>
  </si>
  <si>
    <t xml:space="preserve">B07SY4C3TD</t>
  </si>
  <si>
    <t xml:space="preserve">HP GT 53 XL Cartridge Ink</t>
  </si>
  <si>
    <t xml:space="preserve">B094JB13XL</t>
  </si>
  <si>
    <t xml:space="preserve">Noise ColorFit Ultra Smart Watch with 1.75" HD Display, Aluminium Alloy Body, 60 Sports Modes, Spo2, Lightweight, Stock Market Info, Calls &amp; SMS Reply (Space Blue)</t>
  </si>
  <si>
    <t xml:space="preserve">B08CRRQK6Z</t>
  </si>
  <si>
    <t xml:space="preserve">Zebronics Zeb-JUKEBAR 3900, 80W Multimedia soundbar with subwoofer Supporting Bluetooth, HDMI(ARC), Coaxial Input, AUX, USB &amp; Remote Control (Black)</t>
  </si>
  <si>
    <t xml:space="preserve">B08MTLLSL8</t>
  </si>
  <si>
    <t xml:space="preserve">boAt Bassheads 102 Wired in Ear Earphones with Mic (Mint Green)</t>
  </si>
  <si>
    <t xml:space="preserve">B08Y57TPDM</t>
  </si>
  <si>
    <t xml:space="preserve">Duracell CR2016 3V Lithium Coin Battery, 5 pcs, 2016 Coin Button Cell Battery, DL2016</t>
  </si>
  <si>
    <t xml:space="preserve">B09CYTJV3N</t>
  </si>
  <si>
    <t xml:space="preserve">MI 360° Home Security Wireless Camera 2K Pro with Bluetooth Gateway BLE 4.2 l Dual Band Wi-fi Connection l 3 Million 1296p| Full Color in Low-Light | AI Human Detection, White</t>
  </si>
  <si>
    <t xml:space="preserve">B07GLNJC25</t>
  </si>
  <si>
    <t xml:space="preserve">ZEBRONICS Zeb-100HB 4 Ports USB Hub for Laptop, PC Computers, Plug &amp; Play, Backward Compatible - Black</t>
  </si>
  <si>
    <t xml:space="preserve">B08FY4FG5X</t>
  </si>
  <si>
    <t xml:space="preserve">Boult Audio Bass Buds Q2 Lightweight Stereo Wired Over Ear Headphones Set with Mic with Deep Bass, Comfortable Ear Cushions, &amp; Long Cord (Black)</t>
  </si>
  <si>
    <t xml:space="preserve">B07TMCXRFV</t>
  </si>
  <si>
    <t xml:space="preserve">ESR Screen Protector Compatible with iPad Pro 11 Inch (2022/2021/2020/2018) and iPad Air 5/4 (2022/2020, 10.9 Inch), Tempered-Glass Film with Alignment Frame, Scratch Resistant, HD Clarity, 2 Pack</t>
  </si>
  <si>
    <t xml:space="preserve">B00LZPQVMK</t>
  </si>
  <si>
    <t xml:space="preserve">Parker Vector Standard Chrome Trim Ball Pen (Ink - Black)</t>
  </si>
  <si>
    <t xml:space="preserve">B08X77LM8C</t>
  </si>
  <si>
    <t xml:space="preserve">Silicone Rubber Earbuds Tips, Eartips, Earpads, Earplugs, for Replacement in Earphones and Bluetooth Medium Size (10 Pcs Black)</t>
  </si>
  <si>
    <t xml:space="preserve">B01EJ5MM5M</t>
  </si>
  <si>
    <t xml:space="preserve">Canon PIXMA MG2577s All-in-One Inkjet Colour Printer with 1 Additional Colour Cartridge</t>
  </si>
  <si>
    <t xml:space="preserve">B08J82K4GX</t>
  </si>
  <si>
    <t xml:space="preserve">Samsung 24-inch(60.46cm) FHD Monitor, IPS, 75 Hz, Bezel Less Design, AMD FreeSync, Flicker Free, HDMI, D-sub, (LF24T350FHWXXL, Dark Blue Gray)</t>
  </si>
  <si>
    <t xml:space="preserve">B07Z1Z77ZZ</t>
  </si>
  <si>
    <t xml:space="preserve">AirCase Protective Laptop Bag Sleeve fits Upto 14.1" Laptop/ MacBook, Wrinkle Free, Padded, Waterproof Light Neoprene case Cover Pouch, for Men &amp; Women, Black- 6 Months Warranty</t>
  </si>
  <si>
    <t xml:space="preserve">B00DJ5N9VK</t>
  </si>
  <si>
    <t xml:space="preserve">Faber-Castell Connector Pen Set - Pack of 25 (Assorted)</t>
  </si>
  <si>
    <t xml:space="preserve">Arts &amp; Crafts</t>
  </si>
  <si>
    <t xml:space="preserve">B08FGNPQ9X</t>
  </si>
  <si>
    <t xml:space="preserve">Zinq UPS for Router, Mini UPS for 12V WiFi Router Broadband Modem with Upto 4 Hours Power Backup, Upto 2Amp, Works with Existing Adapter, Also Works with Set-top Box, Smart Camera, CCTV (Black)</t>
  </si>
  <si>
    <t xml:space="preserve">B07NTKGW45</t>
  </si>
  <si>
    <t xml:space="preserve">SaleOn™ Portable Storage Organizer Bag for Earphone USB Cable Power Bank Mobile Charger Digital Gadget Hard Disk, Water Resistance Material - Dark Grey</t>
  </si>
  <si>
    <t xml:space="preserve">B08J4PL1Z3</t>
  </si>
  <si>
    <t xml:space="preserve">RPM Euro Games Laptop/PC Controller Wired for Windows - 7, 8, 8.1, 10 and XP, Ps3(Upgraded with XYAB Buttons)</t>
  </si>
  <si>
    <t xml:space="preserve">B07XJWTYM2</t>
  </si>
  <si>
    <t xml:space="preserve">realme Buds Wireless in Ear Bluetooth Earphones with mic, 11.2mm Bass Boost Driver, Magnetic Fast Pair, Fast Charging and 12 Hrs Playtime (Yellow)</t>
  </si>
  <si>
    <t xml:space="preserve">B09939XJX8</t>
  </si>
  <si>
    <t xml:space="preserve">TVARA LCD Writing Tablet, 8.5" Inch Colorful Toddler Doodle Board Drawing Tablet, Erasable Reusable Electronic Drawing Pads, Educational and Learning Tool for 3-6 Years Old Boy and Girls Mix Colors</t>
  </si>
  <si>
    <t xml:space="preserve">B09MDCZJXS</t>
  </si>
  <si>
    <t xml:space="preserve">Wings Phantom Pro Earphones Gaming Earbuds with LED Battery Indicator, 50ms Low Latency, Bluetooth 5.3, 40 Hours Playtime, MEMs Mic, IPX4 Resist, 12mm Driver, 500mah case, Headphones, (Black TWS)</t>
  </si>
  <si>
    <t xml:space="preserve">B08CTQP51L</t>
  </si>
  <si>
    <t xml:space="preserve">Robustrion [Anti-Scratch] &amp; [Smudge Proof] [S Pen Compatible] Premium Tempered Glass Screen Protector for Samsung Tab S6 Lite 10.4 inch SM-P610/615 [Bubble Free]</t>
  </si>
  <si>
    <t xml:space="preserve">B0BG62HMDJ</t>
  </si>
  <si>
    <t xml:space="preserve">Cablet 2.5 Inch SATA USB 3.0 HDD/SSD Portable External Enclosure for 7mm and 9.5mm, Tool-Free Design, Supports UASP Max 6TB</t>
  </si>
  <si>
    <t xml:space="preserve">B08GTYFC37</t>
  </si>
  <si>
    <t xml:space="preserve">SanDisk 1TB Extreme Portable SSD 1050MB/s R, 1000MB/s W,Upto 2 Meter Drop Protection with IP55 Water/dust Resistance, HW Encryption, PC,MAC &amp; TypeC Smartphone Compatible, 5Y Warranty, External SSD</t>
  </si>
  <si>
    <t xml:space="preserve">B08SBH499M</t>
  </si>
  <si>
    <t xml:space="preserve">ZEBRONICS Zeb-Warrior II 10 watts 2.0 Multimedia Speaker with RGB Lights, USB Powered, AUX Input, Volume Control Pod for PC, Laptops, Desktop</t>
  </si>
  <si>
    <t xml:space="preserve">B08FYB5HHK</t>
  </si>
  <si>
    <t xml:space="preserve">TP-Link UE300C USB Type-C to RJ45 Gigabit Ethernet Network Adapter/RJ45 LAN Wired Adapter for Ultrabook, Chromebook, Laptop, Desktop, Plug &amp; Play, USB 3.0, Foldable and Portable Design</t>
  </si>
  <si>
    <t xml:space="preserve">B0B5GJRTHB</t>
  </si>
  <si>
    <t xml:space="preserve">Wecool Moonwalk M1 ENC True Wireless in Ear Earbuds with Mic, Titanium Drivers for Rich Bass Experience, 40+ Hours Play Time, Type C Fast Charging, Low Latency, BT 5.3, IPX5, Deep Bass (Black)</t>
  </si>
  <si>
    <t xml:space="preserve">B09GBBJV72</t>
  </si>
  <si>
    <t xml:space="preserve">HP 330 Wireless Black Keyboard and Mouse Set with Numeric Keypad, 2.4GHz Wireless Connection and 1600 DPI, USB Receiver, LED Indicators , Black(2V9E6AA)</t>
  </si>
  <si>
    <t xml:space="preserve">B07P434WJY</t>
  </si>
  <si>
    <t xml:space="preserve">RC PRINT GI 790 Ink Refill for Canon G1000, G1010, G1100, G2000, G2002, G2010, G2012, G2100, G3000, G3010, G3012, G3100, G4000, G4010</t>
  </si>
  <si>
    <t xml:space="preserve">B07T9FV9YP</t>
  </si>
  <si>
    <t xml:space="preserve">Redgear Cloak Wired RGB Wired Over Ear Gaming Headphones with Mic for PC</t>
  </si>
  <si>
    <t xml:space="preserve">B08WKFSN84</t>
  </si>
  <si>
    <t xml:space="preserve">Wayona Type C To Type C 65W/3.25A Nylon Braided Fast Charging Cable Compatible For Laptop, Macbook, Samsung Galaxy M33 M53 M51 S20 Ultra, A71, A53, A51, Ipad Pro 2018 (1M, Grey)</t>
  </si>
  <si>
    <t xml:space="preserve">B09TBCVJS3</t>
  </si>
  <si>
    <t xml:space="preserve">Amazfit GTS2 Mini (New Version) Smart Watch with Always-on AMOLED Display, Alexa Built-in, SpO2, 14 Days' Battery Life, 68 Sports Modes, GPS, HR, Sleep &amp; Stress Monitoring (Meteor Black)</t>
  </si>
  <si>
    <t xml:space="preserve">B08TR61BVK</t>
  </si>
  <si>
    <t xml:space="preserve">Tabelito® Polyester Foam, Nylon Hybrid laptopss Bag Sleeve Case Cover Pouch for laptopss Apple/Dell/Lenovo/ Asus/ Hp/Samsung/Mi/MacBook/Ultrabook/Thinkpad/Ideapad/Surfacepro (15.6 inches /39.6cm, Blue) laptopsss</t>
  </si>
  <si>
    <t xml:space="preserve">B0B2CPVXHX</t>
  </si>
  <si>
    <t xml:space="preserve">Robustrion Anti-Scratch &amp; Smudge Proof Tempered Glass Screen Protector for Xiaomi Mi Pad 5 11 inch</t>
  </si>
  <si>
    <t xml:space="preserve">B08XNL93PL</t>
  </si>
  <si>
    <t xml:space="preserve">Portronics Ruffpad 15 Re-Writable LCD Screen 38.1cm (15-inch) Writing Pad for Drawing, Playing, Handwriting Gifts for Kids &amp; Adults (Grey)</t>
  </si>
  <si>
    <t xml:space="preserve">B088GXTJM3</t>
  </si>
  <si>
    <t xml:space="preserve">DIGITEK® (DLS-9FT) Lightweight &amp; Portable Aluminum Alloy Light Stand for Ring Light, Reflector, Flash Units, Diffuser, Portrait, Softbox, Studio Lighting &amp; More Ideal for Outdoor &amp; Indoor Shoots</t>
  </si>
  <si>
    <t xml:space="preserve">B099S26HWG</t>
  </si>
  <si>
    <t xml:space="preserve">Classmate Pulse 1 Subject Notebook - 240mm x 180mm , Soft Cover, 180 Pages, Single Line, Pack of 4</t>
  </si>
  <si>
    <t xml:space="preserve">B08461VC1Z</t>
  </si>
  <si>
    <t xml:space="preserve">Scarters Mouse Pad, Desk Mat Extended for Work from Home/Office/Gaming | Vegan PU Leather | Anti-Skid, Anti-Slip, Reversible Splash-Proof – Deskspread ~ Navy Blue &amp; Yellow</t>
  </si>
  <si>
    <t xml:space="preserve">B00K32PEW4</t>
  </si>
  <si>
    <t xml:space="preserve">Casio MJ-120D 150 Steps Check and Correct Desktop Calculator with Tax Keys, Black</t>
  </si>
  <si>
    <t xml:space="preserve">B07LFWP97N</t>
  </si>
  <si>
    <t xml:space="preserve">Gizga Essentials Laptop Bag Sleeve Case Cover Pouch with Handle for 14.1 Inch Laptop for Men &amp; Women, Padded Laptop Compartment, Premium Zipper Closure, Water Repellent Nylon Fabric, Grey</t>
  </si>
  <si>
    <t xml:space="preserve">B0746N6WML</t>
  </si>
  <si>
    <t xml:space="preserve">Parker Vector Camouflage Gift Set - Roller Ball Pen &amp; Parker Logo Keychain (Black Body, Blue Ink), 2 Piece Set</t>
  </si>
  <si>
    <t xml:space="preserve">B07W9KYT62</t>
  </si>
  <si>
    <t xml:space="preserve">TP-Link AC1200 Archer A6 Smart WiFi, 5GHz Gigabit Dual Band MU-MIMO Wireless Internet Router, Long Range Coverage by 4 Antennas, Qualcomm Chipset</t>
  </si>
  <si>
    <t xml:space="preserve">B08D9MNH4B</t>
  </si>
  <si>
    <t xml:space="preserve">HP Deskjet 2723 AIO Printer, Copy, Scan, WiFi, Bluetooth, USB, Simple Setup Smart App, Ideal for Home.</t>
  </si>
  <si>
    <t xml:space="preserve">B09MKG4ZCM</t>
  </si>
  <si>
    <t xml:space="preserve">Xiaomi Mi 4A Dual_Band Ethernet 1200Mbps Speed Router| 2.4GHz &amp; 5GHz Frequency|128MB RAM | DualCore 4 Thread CPU|4 Omni Directional Antenna|Mi Wi-Fi app-Parental Control &amp; Anti Hacking|Repeater, White</t>
  </si>
  <si>
    <t xml:space="preserve">B07RZZ1QSW</t>
  </si>
  <si>
    <t xml:space="preserve">SLOVIC® Tripod Mount Adapter| Tripod Mobile Holder|Tripod Phone Mount(Made in India)| Smartphone Clip Clipper 360 Degree for Taking Magic Video Shots &amp; Pictures.</t>
  </si>
  <si>
    <t xml:space="preserve">B07222HQKP</t>
  </si>
  <si>
    <t xml:space="preserve">Orico 2.5"(6.3cm) USB 3.0 HDD Enclosure Case Cover for SATA SSD HDD | SATA SSD HDD Enclosure High Speed USB 3.0 | Tool Free Installation | Black</t>
  </si>
  <si>
    <t xml:space="preserve">B00NFD0ETQ</t>
  </si>
  <si>
    <t xml:space="preserve">Logitech G402 Hyperion Fury USB Wired Gaming Mouse, 4,000 DPI, Lightweight, 8 Programmable Buttons, Compatible for PC/Mac - Black</t>
  </si>
  <si>
    <t xml:space="preserve">B075DB1F13</t>
  </si>
  <si>
    <t xml:space="preserve">Panasonic Eneloop BQ-CC55N Advanced, Smart and Quick Charger for AA &amp; AAA Rechargeable Batteries, White</t>
  </si>
  <si>
    <t xml:space="preserve">B0148NPH9I</t>
  </si>
  <si>
    <t xml:space="preserve">Logitech K380 Wireless Multi-Device Keyboard for Windows, Apple iOS, Apple TV Android or Chrome, Bluetooth, Compact Space-Saving Design, PC/Mac/Laptop/Smartphone/Tablet (Dark Grey)</t>
  </si>
  <si>
    <t xml:space="preserve">B01JOFKL0A</t>
  </si>
  <si>
    <t xml:space="preserve">Canon PIXMA E477 All-in-One Wireless Ink Efficient Colour Printer (White/Blue)</t>
  </si>
  <si>
    <t xml:space="preserve">B079S811J3</t>
  </si>
  <si>
    <t xml:space="preserve">Redgear Cosmo 7,1 Usb Gaming Wired Over Ear Headphones With Mic With Virtual Surround Sound,50Mm Driver, Rgb Leds &amp; Remote Control(Black)</t>
  </si>
  <si>
    <t xml:space="preserve">B0083T231O</t>
  </si>
  <si>
    <t xml:space="preserve">Belkin Essential Series 4-Socket Surge Protector Universal Socket with 5ft Heavy Duty Cable (Grey)</t>
  </si>
  <si>
    <t xml:space="preserve">Power Accessories</t>
  </si>
  <si>
    <t xml:space="preserve">B086PXQ2R4</t>
  </si>
  <si>
    <t xml:space="preserve">Classmate Long Book - Unruled, 160 Pages, 314 mm x 194 mm - Pack Of 3</t>
  </si>
  <si>
    <t xml:space="preserve">B07L1N3TJX</t>
  </si>
  <si>
    <t xml:space="preserve">Artis AR-45W-MG2 45 Watts MG2 Laptop Adapter/Charger Compatible with MB Air 13” &amp; MB Air 11” (14.5 V, 3.1 A) Connector: MG2 (T Tip Connector)</t>
  </si>
  <si>
    <t xml:space="preserve">B07YFWVRCM</t>
  </si>
  <si>
    <t xml:space="preserve">Imou 360° 1080P Full HD Security Camera, Human Detection, Motion Tracking, 2-Way Audio, Night Vision, Dome Camera with WiFi &amp; Ethernet Connection, Alexa Google Assistant, Up to 256GB SD Card Support</t>
  </si>
  <si>
    <t xml:space="preserve">B08TDJ5BVF</t>
  </si>
  <si>
    <t xml:space="preserve">E-COSMOS 5V 1.2W Portable Flexible USB LED Light (Colours May Vary, Small, EC-POF1)</t>
  </si>
  <si>
    <t xml:space="preserve">B09XXZXQC1</t>
  </si>
  <si>
    <t xml:space="preserve">Xiaomi Pad 5| Qualcomm Snapdragon 860| 120Hz Refresh Rate| 6GB, 128GB| 2.5K+ Display (10.95-inch/27.81cm)|1 Billion Colours| Dolby Vision Atmos| Quad Speakers| Wi-Fi| Gray</t>
  </si>
  <si>
    <t xml:space="preserve">Tablets</t>
  </si>
  <si>
    <t xml:space="preserve">B083T5G5PM</t>
  </si>
  <si>
    <t xml:space="preserve">Sennheiser CX 80S in-Ear Wired Headphones with in-line One-Button Smart Remote with Microphone Black</t>
  </si>
  <si>
    <t xml:space="preserve">B0BHVPTM2C</t>
  </si>
  <si>
    <t xml:space="preserve">HB Plus Folding Height Adjustable Aluminum Foldable Portable Adjustment Desktop Laptop Holder Riser Stand</t>
  </si>
  <si>
    <t xml:space="preserve">B01NBX5RSB</t>
  </si>
  <si>
    <t xml:space="preserve">HP 65W AC Laptops Charger Adapter 4.5mm for HP Pavilion Black (Without Power Cable)</t>
  </si>
  <si>
    <t xml:space="preserve">B08MWJTST6</t>
  </si>
  <si>
    <t xml:space="preserve">Tukzer Fully Foldable Tabletop Desktop Tablet Mobile Stand Holder - Angle &amp; Height Adjustable for Desk, Cradle, Dock, Compatible with Smartphones &amp; Tablets (White)</t>
  </si>
  <si>
    <t xml:space="preserve">B07R99NBVB</t>
  </si>
  <si>
    <t xml:space="preserve">Gizga Essentials Cable Organiser, Cord Management System for PC, TV, Home Theater, Speaker &amp; Cables, Reusable Cable Organizer for Desk, WFH Accessories, Organizer Tape Roll, Reusable Cable Ties Strap</t>
  </si>
  <si>
    <t xml:space="preserve">B00LY12TH6</t>
  </si>
  <si>
    <t xml:space="preserve">Camel Oil Pastel with Reusable Plastic Box - 50 Shades</t>
  </si>
  <si>
    <t xml:space="preserve">B08497Z1MQ</t>
  </si>
  <si>
    <t xml:space="preserve">HP M270 Backlit USB Wired Gaming Mouse with 6 Buttons, 4-Speed Customizable 2400 DPI, Ergonomic Design, Breathing LED Lighting, Metal Scroll Wheel, Lightweighted / 3 Years Warranty (7ZZ87AA), Black</t>
  </si>
  <si>
    <t xml:space="preserve">B07KNM95JK</t>
  </si>
  <si>
    <t xml:space="preserve">Foxin FTC 12A / Q2612A Black Laser Toner Cartridge Compatible with Laserjet 1020,M1005,1018,1010,1012,1015,1020 Plus,1022,3015,3020,3030,3050, 3050Z, 3052,3055 (Black)</t>
  </si>
  <si>
    <t xml:space="preserve">B09Q3M3WLJ</t>
  </si>
  <si>
    <t xml:space="preserve">Robustrion [Anti-Scratch] &amp; [Smudge Proof] [Bubble Free] Premium Tempered Glass Screen Protector Guard for Samsung Galaxy Tab A8 10.5 inch [SM-X200/X205/X207] 2022</t>
  </si>
  <si>
    <t xml:space="preserve">B09B9SPC7F</t>
  </si>
  <si>
    <t xml:space="preserve">PC SQUARE Laptop Tabletop Stand/ Computer Tablet Stand 6 Angles Adjustable Aluminum Ergonomic Foldable Portable Desktop Holder Compatible with MacBook, HP, Dell, Lenovo &amp; All Other Notebook (Silver)</t>
  </si>
  <si>
    <t xml:space="preserve">B099SD8PRP</t>
  </si>
  <si>
    <t xml:space="preserve">Lenovo 130 Wireless Compact Mouse, 1K DPI Optical sensor, 2.4GHz Wireless NanoUSB, 10m range, 3button(left,right,scroll) upto 3M left/right clicks, 10 month battery, Ambidextrous, Ergonomic GY51C12380</t>
  </si>
  <si>
    <t xml:space="preserve">B00S2SEV7K</t>
  </si>
  <si>
    <t xml:space="preserve">Pilot Frixion Clicker Roller Pen (Blue), (9000019529)</t>
  </si>
  <si>
    <t xml:space="preserve">B08WKCTFF3</t>
  </si>
  <si>
    <t xml:space="preserve">ZEBRONICS Aluminium Alloy Laptop Stand, Compatible with 9-15.6 inch Laptops, 7 Angles Adjustable, Anti Slip Silicon Rubber Pads, Foldable, Velvet Pouch Inside, Zeb-NS2000 (Dark Grey)</t>
  </si>
  <si>
    <t xml:space="preserve">B08498D67S</t>
  </si>
  <si>
    <t xml:space="preserve">HP K500F Backlit Membrane Wired Gaming Keyboard with Mixed Color Lighting, Metal Panel with Logo Lighting, 26 Anti-Ghosting Keys, and Windows Lock Key / 3 Years Warranty(7ZZ97AA)</t>
  </si>
  <si>
    <t xml:space="preserve">B00C3GBCIS</t>
  </si>
  <si>
    <t xml:space="preserve">GIZGA Club-laptop Neoprene Reversible for 15.6-inches Laptop Sleeve - Black-Red</t>
  </si>
  <si>
    <t xml:space="preserve">B00URH5E34</t>
  </si>
  <si>
    <t xml:space="preserve">Inventis 5V 1.2W Portable Flexible USB LED Light Lamp (Colors may vary)</t>
  </si>
  <si>
    <t xml:space="preserve">B00EYW1U68</t>
  </si>
  <si>
    <t xml:space="preserve">TP-Link TL-WA855RE 300 Mbps Wi-Fi Range Extender (White)</t>
  </si>
  <si>
    <t xml:space="preserve">B08SMJT55F</t>
  </si>
  <si>
    <t xml:space="preserve">boAt Stone 250 Portable Wireless Speaker with 5W RMS Immersive Audio, RGB LEDs, Up to 8HRS Playtime, IPX7 Water Resistance, Multi-Compatibility Modes(Black)</t>
  </si>
  <si>
    <t xml:space="preserve">B08Y7MXFMK</t>
  </si>
  <si>
    <t xml:space="preserve">Offbeat® - DASH 2.4GHz Wireless + Bluetooth 5.1 Mouse, Multi-Device Dual Mode Slim Rechargeable Silent Click Buttons Wireless Bluetooth Mouse, 3 Adjustable DPI, Works on 2 devices at the same time with a switch button for Windows/Mac/Android/Ipad/Smart TV</t>
  </si>
  <si>
    <t xml:space="preserve">B086Q3QMFS</t>
  </si>
  <si>
    <t xml:space="preserve">Classmate Drawing Book - Unruled, 40 Pages, 210 mm x 297 mm - Pack Of 4</t>
  </si>
  <si>
    <t xml:space="preserve">B08498H13H</t>
  </si>
  <si>
    <t xml:space="preserve">HP GK320 Wired Full Size RGB Backlight Mechanical Gaming Keyboard, 4 LED Indicators, Mechanical Switches, Double Injection Key Caps, and Windows Lock Key(4QN01AA)</t>
  </si>
  <si>
    <t xml:space="preserve">B07LFQLKFZ</t>
  </si>
  <si>
    <t xml:space="preserve">Parker Moments Vector Timecheck Gold Trim Roller Ball Pen (Black)</t>
  </si>
  <si>
    <t xml:space="preserve">B00LY17RHI</t>
  </si>
  <si>
    <t xml:space="preserve">Camlin Elegante Fountain Pen - Black/Blue/Red</t>
  </si>
  <si>
    <t xml:space="preserve">B07W14CHV8</t>
  </si>
  <si>
    <t xml:space="preserve">CARECASE® Optical Bay 2nd Hard Drive Caddy, 9.5 mm CD/DVD Drive Slot for SSD and HDD</t>
  </si>
  <si>
    <t xml:space="preserve">B09F5Z694W</t>
  </si>
  <si>
    <t xml:space="preserve">Canon E4570 All-in-One Wi-Fi Ink Efficient Colour Printer with FAX/ADF/Duplex Printing (Black)- Smart Speaker Compatible, Standard</t>
  </si>
  <si>
    <t xml:space="preserve">B0B25LQQPC</t>
  </si>
  <si>
    <t xml:space="preserve">Crucial P3 500GB PCIe 3.0 3D NAND NVMe M.2 SSD, up to 3500MB/s - CT500P3SSD8</t>
  </si>
  <si>
    <t xml:space="preserve">B01LYLJ99X</t>
  </si>
  <si>
    <t xml:space="preserve">HP v222w 64GB USB 2.0 Pen Drive (Silver)</t>
  </si>
  <si>
    <t xml:space="preserve">B014SZPBM4</t>
  </si>
  <si>
    <t xml:space="preserve">Duracell Ultra Alkaline D Battery, 2 Pcs</t>
  </si>
  <si>
    <t xml:space="preserve">B08CZHGHKH</t>
  </si>
  <si>
    <t xml:space="preserve">BESTOR® LCD Writing Tablet/pad 12 inches | Electronic Writing Scribble Board for Kids | Kids Learning Toy | Portable Ruff for LCD Paperless Memo Digital Tablet Notepad E-Writer/Writing/Drawing Pad Home/School/Office (Black)</t>
  </si>
  <si>
    <t xml:space="preserve">B0B2RBP83P</t>
  </si>
  <si>
    <t xml:space="preserve">Lenovo IdeaPad 3 11th Gen Intel Core i3 15.6" FHD Thin &amp; Light Laptop(8GB/512GB SSD/Windows 11/Office 2021/2Yr Warranty/3months Xbox Game Pass/Platinum Grey/1.7Kg), 81X800LGIN</t>
  </si>
  <si>
    <t xml:space="preserve">Laptops</t>
  </si>
  <si>
    <t xml:space="preserve">B078W65FJ7</t>
  </si>
  <si>
    <t xml:space="preserve">boAt BassHeads 900 On-Ear Wired Headphones with Mic (White)</t>
  </si>
  <si>
    <t xml:space="preserve">B08S74GTBT</t>
  </si>
  <si>
    <t xml:space="preserve">Zebronics Astra 10 Portable Wireless BT v5.0 Speaker, 10W RMS Power, 15* Hours Backup, 2.25" Drive Size, up to 6.4" Mobile Holder Support, Carry Handle, USB, mSD, AUX Input and FM Radio with Antenna</t>
  </si>
  <si>
    <t xml:space="preserve">B07QMRHWJD</t>
  </si>
  <si>
    <t xml:space="preserve">SWAPKART Portable Flexible Adjustable Eye Protection USB LED Desk Light Table Lamp for Reading, Working on PC, Laptop, Power Bank, Bedroom ( Multicolour )</t>
  </si>
  <si>
    <t xml:space="preserve">B07W7Z6DVL</t>
  </si>
  <si>
    <t xml:space="preserve">Infinity (JBL Fuze 100, Wireless Portable Bluetooth Speaker with Mic, Deep Bass, Dual Equalizer, IPX7 Waterproof, Rugged Fabric Design (Black)</t>
  </si>
  <si>
    <t xml:space="preserve">B07WMS7TWB</t>
  </si>
  <si>
    <t xml:space="preserve">Pigeon by Stovekraft Amaze Plus Electric Kettle (14289) with Stainless Steel Body, 1.5 litre, used for boiling Water, making tea and coffee, instant noodles, soup etc. 1500 Watt (Silver)</t>
  </si>
  <si>
    <t xml:space="preserve">Kitchen &amp; Home Appliances</t>
  </si>
  <si>
    <t xml:space="preserve">B00H47GVGY</t>
  </si>
  <si>
    <t xml:space="preserve">USHA Quartz Room Heater with Overheating Protection (3002, Ivory, 800 Watts)</t>
  </si>
  <si>
    <t xml:space="preserve">Heating, Cooling &amp; Air Quality</t>
  </si>
  <si>
    <t xml:space="preserve">B07VX71FZP</t>
  </si>
  <si>
    <t xml:space="preserve">Amazon Brand - Solimo 2000/1000 Watts Room Heater with Adjustable Thermostat (ISI certified, White colour, Ideal for small to medium room/area)</t>
  </si>
  <si>
    <t xml:space="preserve">B07NCKMXVZ</t>
  </si>
  <si>
    <t xml:space="preserve">StyleHouse Lint Remover for Woolen Clothes, Electric Lint Remover, Best Lint Shaver for Clothes</t>
  </si>
  <si>
    <t xml:space="preserve">B0B61DSF17</t>
  </si>
  <si>
    <t xml:space="preserve">beatXP Kitchen Scale Multipurpose Portable Electronic Digital Weighing Scale | Weight Machine With Back light LCD Display | White |10 kg | 2 Year Warranty |</t>
  </si>
  <si>
    <t xml:space="preserve">B07VQGVL68</t>
  </si>
  <si>
    <t xml:space="preserve">Glun Multipurpose Portable Electronic Digital Weighing Scale Weight Machine (10 Kg - with Back Light)</t>
  </si>
  <si>
    <t xml:space="preserve">B01LWYDEQ7</t>
  </si>
  <si>
    <t xml:space="preserve">Pigeon Polypropylene Mini Handy and Compact Chopper with 3 Blades for Effortlessly Chopping Vegetables and Fruits for Your Kitchen (12420, Green, 400 ml)</t>
  </si>
  <si>
    <t xml:space="preserve">Kitchen &amp; Dining</t>
  </si>
  <si>
    <t xml:space="preserve">B07VNFP3C2</t>
  </si>
  <si>
    <t xml:space="preserve">Prestige 1.5 Litre Kettle 1500-watts, Red</t>
  </si>
  <si>
    <t xml:space="preserve">B00LUGTJGO</t>
  </si>
  <si>
    <t xml:space="preserve">Bajaj RHX-2 800-Watt Room Heater (White)</t>
  </si>
  <si>
    <t xml:space="preserve">B01MQZ7J8K</t>
  </si>
  <si>
    <t xml:space="preserve">Prestige Electric Kettle PKOSS - 1500watts, Steel (1.5Ltr), Black</t>
  </si>
  <si>
    <t xml:space="preserve">B01GFTEV5Y</t>
  </si>
  <si>
    <t xml:space="preserve">Pigeon by Stovekraft Cruise 1800 watt Induction Cooktop (Black)</t>
  </si>
  <si>
    <t xml:space="preserve">B00NW4UWN6</t>
  </si>
  <si>
    <t xml:space="preserve">Prestige PKGSS 1.7L 1500W Electric Kettle (Stainless Steel)</t>
  </si>
  <si>
    <t xml:space="preserve">B01NCVJMKX</t>
  </si>
  <si>
    <t xml:space="preserve">SHOPTOSHOP Electric Lint Remover, Best Lint Shaver for Clothes,Lint Remover for Woolen Clothes ,Lint Remover for Sweaters</t>
  </si>
  <si>
    <t xml:space="preserve">B00O24PUO6</t>
  </si>
  <si>
    <t xml:space="preserve">Orpat OEH-1260 2000-Watt Fan Heater (Grey)</t>
  </si>
  <si>
    <t xml:space="preserve">B07GXPDLYQ</t>
  </si>
  <si>
    <t xml:space="preserve">PRO365 Indo Mocktails/Coffee Foamer/Cappuccino/Lemonade/Milk Frother (6 Months Warranty)</t>
  </si>
  <si>
    <t xml:space="preserve">B01C8P29N0</t>
  </si>
  <si>
    <t xml:space="preserve">Bajaj DX-6 1000W Dry Iron with Advance Soleplate and Anti-bacterial German Coating Technology, White</t>
  </si>
  <si>
    <t xml:space="preserve">B08KDBLMQP</t>
  </si>
  <si>
    <t xml:space="preserve">Croma 500W Mixer Grinder with 3 Stainless Steel Leak-proof Jars, 3 speed &amp; Pulse function, 2 years warranty (CRAK4184, White &amp; Purple)</t>
  </si>
  <si>
    <t xml:space="preserve">B078JDNZJ8</t>
  </si>
  <si>
    <t xml:space="preserve">Havells Instanio 3-Litre Instant Geyser (White/Blue)</t>
  </si>
  <si>
    <t xml:space="preserve">B01M5F614J</t>
  </si>
  <si>
    <t xml:space="preserve">Morphy Richards OFR Room Heater, 09 Fin 2000 Watts Oil Filled Room Heater , ISI Approved (OFR 9 Grey)</t>
  </si>
  <si>
    <t xml:space="preserve">B083GKDRKR</t>
  </si>
  <si>
    <t xml:space="preserve">Havells Aqua Plus 1.2 litre Double Wall Kettle / 304 Stainless Steel Inner Body / Cool touch outer body / Wider mouth/ 2 Year warranty (Black, 1500 Watt)</t>
  </si>
  <si>
    <t xml:space="preserve">B097R2V1W8</t>
  </si>
  <si>
    <t xml:space="preserve">Bajaj Splendora 3 Litre 3KW IWH Instant Water Heater (Geyser), White</t>
  </si>
  <si>
    <t xml:space="preserve">B07YR26BJ3</t>
  </si>
  <si>
    <t xml:space="preserve">KENT 16052 Elegant Electric Glass Kettle 1.8L 2000 W | Blue LED Illumination | Borosilicate Glass Body | Boil Drying Protection | Used as Boiler | Milk | Tea | Water &amp; Soup | 1 Year Warranty</t>
  </si>
  <si>
    <t xml:space="preserve">B097R45BH8</t>
  </si>
  <si>
    <t xml:space="preserve">Bajaj New Shakti Neo 15L Vertical Storage Water Heater (Geyser 15 litres) 4 Star BEE Rated Heater For Water Heating with Titanium Armour, Swirl Flow Technology, Glasslined Tank (White), 1 Yr Warranty</t>
  </si>
  <si>
    <t xml:space="preserve">B09X5C9VLK</t>
  </si>
  <si>
    <t xml:space="preserve">Lifelong LLMG23 Power Pro 500-Watt Mixer Grinder with 3 Jars (Liquidizing, Wet Grinding and Chutney Jar), Stainless Steel blades, 1 Year Warranty (Black)</t>
  </si>
  <si>
    <t xml:space="preserve">B01C8P29T4</t>
  </si>
  <si>
    <t xml:space="preserve">Bajaj Majesty DX-11 1000W Dry Iron with Advance Soleplate and Anti-bacterial German Coating Technology, White and Blue</t>
  </si>
  <si>
    <t xml:space="preserve">B00HVXS7WC</t>
  </si>
  <si>
    <t xml:space="preserve">Bajaj Rex 500W Mixer Grinder with Nutri-Pro Feature, 3 Jars, White</t>
  </si>
  <si>
    <t xml:space="preserve">B096YCN3SD</t>
  </si>
  <si>
    <t xml:space="preserve">Lifelong LLEK15 Electric Kettle 1.5L with Stainless Steel Body, Easy and Fast Boiling of Water for Instant Noodles, Soup, Tea etc. (1 Year Warranty, Silver)</t>
  </si>
  <si>
    <t xml:space="preserve">B09LQH3SD9</t>
  </si>
  <si>
    <t xml:space="preserve">Lifelong LLQH922 Regalia 800 W (ISI Certified) Quartz Room Heater with 2 Power settings, Overheating Protection, 2 Rod Heater (1 Year Warranty, White)</t>
  </si>
  <si>
    <t xml:space="preserve">B09KNMLH4Y</t>
  </si>
  <si>
    <t xml:space="preserve">R B Nova Lint/Fabric Shaver for Cloths, Lint Remover for Woolen Sweaters, Blankets, Jackets/Burr Remover Pill Remover from Carpets, Pack of 1</t>
  </si>
  <si>
    <t xml:space="preserve">B00ABMASXG</t>
  </si>
  <si>
    <t xml:space="preserve">Bajaj Immersion Rod Water Heater 1500 Watts, Silver</t>
  </si>
  <si>
    <t xml:space="preserve">B07QDSN9V6</t>
  </si>
  <si>
    <t xml:space="preserve">INALSA Electric Kettle 1.5 Litre with Stainless Steel Body - Absa|Auto Shut Off &amp; Boil Dry Protection Safety Features| Cordless Base &amp; Cord Winder|Hot Water Kettle |Water Heater Jug</t>
  </si>
  <si>
    <t xml:space="preserve">B00YMJ0OI8</t>
  </si>
  <si>
    <t xml:space="preserve">Prestige PIC 20 1600 Watt Induction Cooktop with Push button (Black)</t>
  </si>
  <si>
    <t xml:space="preserve">B0B8XNPQPN</t>
  </si>
  <si>
    <t xml:space="preserve">Pigeon Healthifry Digital Air Fryer, 360° High Speed Air Circulation Technology 1200 W with Non-Stick 4.2 L Basket - Green</t>
  </si>
  <si>
    <t xml:space="preserve">B0814P4L98</t>
  </si>
  <si>
    <t xml:space="preserve">PrettyKrafts Laundry Basket for clothes with Lid &amp; Handles, Toys Organiser, 75 Ltr Black &amp; Grey</t>
  </si>
  <si>
    <t xml:space="preserve">Home Storage &amp; Organization</t>
  </si>
  <si>
    <t xml:space="preserve">B008QTK47Q</t>
  </si>
  <si>
    <t xml:space="preserve">Philips GC1905 1440-Watt Steam Iron with Spray (Blue)</t>
  </si>
  <si>
    <t xml:space="preserve">B088ZTJT2R</t>
  </si>
  <si>
    <t xml:space="preserve">Havells Immersion HB15 1500 Watt (White Blue)</t>
  </si>
  <si>
    <t xml:space="preserve">B0BK1K598K</t>
  </si>
  <si>
    <t xml:space="preserve">AGARO LR2007 Lint Remover, Rechargeable, for Woolen Sweaters, Blankets, Jackets, Burr Remover, Pill Remover From Carpets, Curtains</t>
  </si>
  <si>
    <t xml:space="preserve">B09Y5FZK9N</t>
  </si>
  <si>
    <t xml:space="preserve">Pigeon 1.5 litre Hot Kettle and Stainless Steel Water Bottle Combo used for boiling Water, Making Tea and Coffee, Instant Noodles, Soup, 1500 Watt with Auto Shut- off Feature - (Silver)</t>
  </si>
  <si>
    <t xml:space="preserve">B09J2SCVQT</t>
  </si>
  <si>
    <t xml:space="preserve">NutriPro Juicer Mixer Grinder - Smoothie Maker - 500 Watts (3 Jars 2 Blades)</t>
  </si>
  <si>
    <t xml:space="preserve">B00TDD0YM4</t>
  </si>
  <si>
    <t xml:space="preserve">Philips GC026/30 Fabric Shaver, Lint Remover for Woolen Sweaters, Blankets, Jackets/Burr Remover Pill Remover from Carpets, Curtains (White)</t>
  </si>
  <si>
    <t xml:space="preserve">B078KRFWQB</t>
  </si>
  <si>
    <t xml:space="preserve">Havells Cista Room Heater, White, 2000 Watts</t>
  </si>
  <si>
    <t xml:space="preserve">B07SRM58TP</t>
  </si>
  <si>
    <t xml:space="preserve">AGARO Regal 800 Watts Handheld Vacuum Cleaner, Lightweight &amp; Durable Body, Small/Mini Size ( Black)</t>
  </si>
  <si>
    <t xml:space="preserve">B00EDJJ7FS</t>
  </si>
  <si>
    <t xml:space="preserve">Philips Viva Collection HD4928/01 2100-Watt Induction Cooktop with Feather Touch Sensor and Crystal Glass Plate (Black)</t>
  </si>
  <si>
    <t xml:space="preserve">B0832W3B7Q</t>
  </si>
  <si>
    <t xml:space="preserve">Pigeon By Stovekraft ABS Plastic Acer Plus Induction Cooktop 1800 Watts With Feather Touch Control - Black</t>
  </si>
  <si>
    <t xml:space="preserve">B07WNK1FFN</t>
  </si>
  <si>
    <t xml:space="preserve">AGARO Esteem Multi Kettle 1.2 Litre, 600W with 3 Heating Modes &amp; Rapid Boil Technology</t>
  </si>
  <si>
    <t xml:space="preserve">B009P2LK08</t>
  </si>
  <si>
    <t xml:space="preserve">Bajaj Minor 1000 Watts Radiant Room Heater (Steel, ISI Approved)</t>
  </si>
  <si>
    <t xml:space="preserve">B07DGD4Z4C</t>
  </si>
  <si>
    <t xml:space="preserve">Butterfly Jet Elite Mixer Grinder, 750W, 4 Jars (Grey)</t>
  </si>
  <si>
    <t xml:space="preserve">B07GMFY9QM</t>
  </si>
  <si>
    <t xml:space="preserve">SOFLIN Egg Boiler Electric Automatic Off 7 Egg Poacher for Steaming, Cooking, Boiling and Frying (400 Watts, Blue)</t>
  </si>
  <si>
    <t xml:space="preserve">B0BGPN4GGH</t>
  </si>
  <si>
    <t xml:space="preserve">Lifelong LLQH925 Dyno Quartz Heater 2 Power settings Tip Over Cut-off Switch 800 Watt Silent operation Power Indicator 2 Rod Room Heater (1 Year Warranty, Grey)</t>
  </si>
  <si>
    <t xml:space="preserve">B0B2DZ5S6R</t>
  </si>
  <si>
    <t xml:space="preserve">Amazon Basics 1500 W Electric Kettle (Stainless Steel Body, 1.5 L)</t>
  </si>
  <si>
    <t xml:space="preserve">B07S851WX5</t>
  </si>
  <si>
    <t xml:space="preserve">Prestige Sandwich Maker PGMFD 01, Black</t>
  </si>
  <si>
    <t xml:space="preserve">B01MY839VW</t>
  </si>
  <si>
    <t xml:space="preserve">Orient Electric Fabrijoy DIFJ10BP 1000-Watt Dry Iron, Non-Stick (White and Blue)</t>
  </si>
  <si>
    <t xml:space="preserve">B09LV1CMGH</t>
  </si>
  <si>
    <t xml:space="preserve">Lifelong LLFH921 Regalia 2000 W Fan Heater, 3 Air Settings, Room Heater with Overheating Protection, 1 Year Warranty ( White, (ISI Certified, Ideal for small to medium room/area)</t>
  </si>
  <si>
    <t xml:space="preserve">B01EY310UM</t>
  </si>
  <si>
    <t xml:space="preserve">Philips GC181 Heavy Weight 1000-Watt Dry Iron, Pack of 1</t>
  </si>
  <si>
    <t xml:space="preserve">B09NL7LBWT</t>
  </si>
  <si>
    <t xml:space="preserve">Bulfyss USB Rechargeable Lint Remover Fabric Shaver Pet Hair Remover, Effectively and Quickly Remove Fuzz for Clothes, Sweater, Couch, Sofa, Blanket, Curtain, Wool, Cashmere (Grey, 1 Year Warranty)</t>
  </si>
  <si>
    <t xml:space="preserve">B008YW8M0G</t>
  </si>
  <si>
    <t xml:space="preserve">Bajaj DX-7 1000W Dry Iron with Advance Soleplate and Anti-bacterial German Coating Technology, White</t>
  </si>
  <si>
    <t xml:space="preserve">B097R3XH9R</t>
  </si>
  <si>
    <t xml:space="preserve">Bajaj New Shakti Neo 25L Vertical Storage Water Heater (Geyser 25 Litres) 4 Star BEE Rated Heater For Water Heating with Titanium Armour, Swirl Flow Technology, Glasslined Tank(White), 1 Yr Warranty</t>
  </si>
  <si>
    <t xml:space="preserve">B08TM71L54</t>
  </si>
  <si>
    <t xml:space="preserve">PHILIPS Handheld Garment Steamer STH3000/20 - Compact &amp; Foldable, Convenient Vertical Steaming, 1000 Watt Quick Heat Up, up to 20g/min, Kills 99.9%* Bacteria (Reno Blue), Small</t>
  </si>
  <si>
    <t xml:space="preserve">B0BPBXNQQT</t>
  </si>
  <si>
    <t xml:space="preserve">Room Heater Warmer Wall-Outlet 400 Watts Electric Handy Room Heater (Room Heaters Home for Bedroom, Reading Books, Work, bathrooms, Rooms, Offices, Home Offices,2022</t>
  </si>
  <si>
    <t xml:space="preserve">B00W56GLOQ</t>
  </si>
  <si>
    <t xml:space="preserve">Wonderchef Nutri-blend Mixer, Grinder &amp; Blender | Powerful 400W 22000 RPM motor | Stainless steel Blades | 2 unbreakable jars | 2 Years warranty | Online recipe book by Chef Sanjeev Kapoor | Black</t>
  </si>
  <si>
    <t xml:space="preserve">B0883KDSXC</t>
  </si>
  <si>
    <t xml:space="preserve">USHA Armor AR1100WB 1100 W Dry Iron with Black Weilburger Soleplate (Purple)</t>
  </si>
  <si>
    <t xml:space="preserve">B078V8R9BS</t>
  </si>
  <si>
    <t xml:space="preserve">Butterfly EKN 1.5-Litre Electric Kettle (Silver with Black)</t>
  </si>
  <si>
    <t xml:space="preserve">B08GSQXLJ2</t>
  </si>
  <si>
    <t xml:space="preserve">Crompton Arno Neo 15-L 5 Star Rated Storage Water Heater (Geyser) with Advanced 3 Level Safety (Grey)</t>
  </si>
  <si>
    <t xml:space="preserve">B01M5B0TPW</t>
  </si>
  <si>
    <t xml:space="preserve">Borosil Chef Delite BCH20DBB21 300-Watt Chopper (Black)</t>
  </si>
  <si>
    <t xml:space="preserve">B082KVTRW8</t>
  </si>
  <si>
    <t xml:space="preserve">KENT 16055 Amaze Cool Touch Electric Kettle 1.8 L 1500 W | Plastic Outer &amp; Stainless Steel Inside body | Auto shut off Over heating protection | Multipurpose hot water Kettle | 1 Year Warranty</t>
  </si>
  <si>
    <t xml:space="preserve">B08CFJBZRK</t>
  </si>
  <si>
    <t xml:space="preserve">Prestige IRIS Plus 750 watt mixer grinder</t>
  </si>
  <si>
    <t xml:space="preserve">B07H3WDC4X</t>
  </si>
  <si>
    <t xml:space="preserve">Simxen Egg Boiler Electric Automatic Off 7 Egg Poacher for Steaming, Cooking Also Boiling and Frying 400 W (Blue, Pink)</t>
  </si>
  <si>
    <t xml:space="preserve">B09ZTZ9N3Q</t>
  </si>
  <si>
    <t xml:space="preserve">Amazon Basics 2000/1000 Watt Room Heater with Adjustable Thermostat (ISI certified, White color, Ideal for small to medium room/area)</t>
  </si>
  <si>
    <t xml:space="preserve">B083P71WKK</t>
  </si>
  <si>
    <t xml:space="preserve">HealthSense Weight Machine for Kitchen, Kitchen Food Weighing Scale for Health, Fitness, Home Baking &amp; Cooking with Hanging Design, Touch Button, Tare Function &amp; 1 Year Warranty – Chef-Mate KS 40</t>
  </si>
  <si>
    <t xml:space="preserve">B097R4D42G</t>
  </si>
  <si>
    <t xml:space="preserve">Bajaj New Shakti Neo 10L Vertical Storage Water Heater (Geyser 10 Litres) 4 Star BEE Rated Heater For Water Heating with Titanium Armour, Swirl Flow Technology, Glasslined Tank(White), 1 Yr Warranty</t>
  </si>
  <si>
    <t xml:space="preserve">B07MKMFKPG</t>
  </si>
  <si>
    <t xml:space="preserve">Bosch Pro 1000W Mixer Grinder MGM8842MIN - Black</t>
  </si>
  <si>
    <t xml:space="preserve">B0949FPSFY</t>
  </si>
  <si>
    <t xml:space="preserve">Bulfyss Stainless Steel Digital Kitchen Weighing Scale &amp; Food Weight Machine for Diet, Nutrition, Health, Fitness, Baking &amp; Cooking (5Kgs, Stainless Steel, 2 Years Warranty)</t>
  </si>
  <si>
    <t xml:space="preserve">B08F47T4X5</t>
  </si>
  <si>
    <t xml:space="preserve">VR 18 Pcs - 3 Different Size Plastic Food Snack Bag Pouch Clip Sealer Large, Medium, Small Plastic Snack Seal Sealing Bag Clips Vacuum Sealer (Set of 18, Multi-Color) (Multicolor)</t>
  </si>
  <si>
    <t xml:space="preserve">B01M0505SJ</t>
  </si>
  <si>
    <t xml:space="preserve">Orient Electric Apex-FX 1200mm Ultra High Speed 400 RPM Ceiling Fan (Brown)</t>
  </si>
  <si>
    <t xml:space="preserve">B08D6RCM3Q</t>
  </si>
  <si>
    <t xml:space="preserve">PrettyKrafts Folding Laundry Basket for Clothes with Lid &amp; Handle, Toys Organiser, 75 Litre, (Pack of 1), Mushroom Print</t>
  </si>
  <si>
    <t xml:space="preserve">B009P2LITG</t>
  </si>
  <si>
    <t xml:space="preserve">Bajaj Majesty RX11 2000 Watts Heat Convector Room Heater (White, ISI Approved)</t>
  </si>
  <si>
    <t xml:space="preserve">B00V9NHDI4</t>
  </si>
  <si>
    <t xml:space="preserve">Eureka Forbes Trendy Zip 1000 Watts powerful suction vacuum cleaner with resuable dust bag &amp; 5 accessories,1 year warrantycompact,light weight &amp; easy to use (Black)</t>
  </si>
  <si>
    <t xml:space="preserve">B07WGPBXY9</t>
  </si>
  <si>
    <t xml:space="preserve">Pigeon by Stovekraft Quartz Electric Kettle (14299) 1.7 Litre with Stainless Steel Body, used for boiling Water, making tea and coffee, instant noodles, soup etc. 1500 Watt (Silver)</t>
  </si>
  <si>
    <t xml:space="preserve">B00KRCBA6E</t>
  </si>
  <si>
    <t xml:space="preserve">Maharaja Whiteline Lava Neo 1200-Watts Halogen Heater (White and Red)</t>
  </si>
  <si>
    <t xml:space="preserve">B0B3X2BY3M</t>
  </si>
  <si>
    <t xml:space="preserve">Crompton Gracee 5-L Instant Water Heater (Geyser)</t>
  </si>
  <si>
    <t xml:space="preserve">B00F159RIK</t>
  </si>
  <si>
    <t xml:space="preserve">Bajaj DX-2 600W Dry Iron with Advance Soleplate and Anti-bacterial German Coating Technology, Black</t>
  </si>
  <si>
    <t xml:space="preserve">B08MV82R99</t>
  </si>
  <si>
    <t xml:space="preserve">Bajaj Waterproof 1500 Watts Immersion Rod Heater</t>
  </si>
  <si>
    <t xml:space="preserve">B09VKWGZD7</t>
  </si>
  <si>
    <t xml:space="preserve">AGARO Supreme High Pressure Washer, 1800 Watts, 120 Bars, 6.5L/Min Flow Rate, 8 Meters Outlet Hose, Portable, for Car,Bike and Home Cleaning Purpose, Black and Orange</t>
  </si>
  <si>
    <t xml:space="preserve">B009P2LK80</t>
  </si>
  <si>
    <t xml:space="preserve">Bajaj Deluxe 2000 Watts Halogen Room Heater (Steel, ISI Approved), Multicolor</t>
  </si>
  <si>
    <t xml:space="preserve">B00A7PLVU6</t>
  </si>
  <si>
    <t xml:space="preserve">Orpat HHB-100E WOB 250-Watt Hand Blender (White)</t>
  </si>
  <si>
    <t xml:space="preserve">B0B25DJ352</t>
  </si>
  <si>
    <t xml:space="preserve">GILTON Egg Boiler Electric Automatic Off 7 Egg Poacher for Steaming, Cooking Also Boiling and Frying, Multi Color</t>
  </si>
  <si>
    <t xml:space="preserve">B013B2WGT6</t>
  </si>
  <si>
    <t xml:space="preserve">HealthSense Chef-Mate KS 33 Digital Kitchen Weighing Scale &amp; Food Weight Machine for Health, Fitness, Home Baking &amp; Cooking with Free Bowl, 1 Year Warranty &amp; Batteries Included</t>
  </si>
  <si>
    <t xml:space="preserve">B097RJ867P</t>
  </si>
  <si>
    <t xml:space="preserve">PHILIPS Digital Air Fryer HD9252/90 with Touch Panel, uses up to 90% less fat, 7 Pre-set Menu, 1400W, 4.1 Liter, with Rapid Air Technology (Black), Large</t>
  </si>
  <si>
    <t xml:space="preserve">B091V8HK8Z</t>
  </si>
  <si>
    <t xml:space="preserve">Milton Go Electro 2.0 Stainless Steel Electric Kettle, 1 Piece, 2 Litres, Silver | Power Indicator | 1500 Watts | Auto Cut-off | Detachable 360 Degree Connector | Boiler for Water</t>
  </si>
  <si>
    <t xml:space="preserve">B071VNHMX2</t>
  </si>
  <si>
    <t xml:space="preserve">Philips Daily Collection HD2582/00 830-Watt 2-Slice Pop-up Toaster (White)</t>
  </si>
  <si>
    <t xml:space="preserve">B08MVSGXMY</t>
  </si>
  <si>
    <t xml:space="preserve">Crompton Insta Comfy 800 Watt Room Heater with 2 Heat Settings(Grey Blue)</t>
  </si>
  <si>
    <t xml:space="preserve">B00H0B29DI</t>
  </si>
  <si>
    <t xml:space="preserve">USHA Heat Convector 812 T 2000-Watt with Instant Heating Feature (Black)</t>
  </si>
  <si>
    <t xml:space="preserve">B01GZSQJPA</t>
  </si>
  <si>
    <t xml:space="preserve">Philips HL7756/00 Mixer Grinder, 750W, 3 Jars (Black)</t>
  </si>
  <si>
    <t xml:space="preserve">B08VGFX2B6</t>
  </si>
  <si>
    <t xml:space="preserve">Kuber Industries Waterproof Round Non Wovan Laundry Bag/Hamper|Metalic Printed With Handles|Foldable Bin &amp; 45 Liter Capicity|Size 37 x 37 x 49, Pack of 1 (Beige &amp; Brown)-KUBMART11450</t>
  </si>
  <si>
    <t xml:space="preserve">B09GYBZPHF</t>
  </si>
  <si>
    <t xml:space="preserve">Lifelong LLMG93 500 Watt Duos Mixer Grinder, 2 Stainless Steel Jar (Liquidizing and Chutney Jar)| ABS Body, Stainless Steel Blades, 3 Speed Options with Whip (1 Year Warranty, Black)</t>
  </si>
  <si>
    <t xml:space="preserve">B0B4KPCBSH</t>
  </si>
  <si>
    <t xml:space="preserve">IKEA Frother for Milk</t>
  </si>
  <si>
    <t xml:space="preserve">B09CGLY5CX</t>
  </si>
  <si>
    <t xml:space="preserve">Crompton Insta Comfort Heater 2000 Watts Heat Convector with Adjustable Thermostats, Hybrid Cyan, Standard (‎ACGRH- INSTACOMFORT)</t>
  </si>
  <si>
    <t xml:space="preserve">B09JN37WBX</t>
  </si>
  <si>
    <t xml:space="preserve">Lint Remover Woolen Clothes Lint Extractor Battery Lint Removing Machine Bhur Remover</t>
  </si>
  <si>
    <t xml:space="preserve">B01I1LDZGA</t>
  </si>
  <si>
    <t xml:space="preserve">Pigeon Kessel Multipurpose Kettle (12173) 1.2 litres with Stainless Steel Body, used for boiling Water and milk, Tea, Coffee, Oats, Noodles, Soup etc. 600 Watt (Black &amp; Silver)</t>
  </si>
  <si>
    <t xml:space="preserve">B0BN2576GQ</t>
  </si>
  <si>
    <t xml:space="preserve">C (DEVICE) Lint Remover for Woolen Clothes, Electric Lint Remover, Best Lint Shaver for Clothes Pack of 1</t>
  </si>
  <si>
    <t xml:space="preserve">B06XPYRWV5</t>
  </si>
  <si>
    <t xml:space="preserve">Pigeon by Stovekraft 2 Slice Auto Pop up Toaster. A Smart Bread Toaster for Your Home (750 Watt) (black)</t>
  </si>
  <si>
    <t xml:space="preserve">B01N1XVVLC</t>
  </si>
  <si>
    <t xml:space="preserve">Bajaj OFR Room Heater, 13 Fin 2900 Watts Oil Filled Room Heater with 400W PTC Ceramic Fan Heater, ISI Approved (Majesty 13F Plus Black)</t>
  </si>
  <si>
    <t xml:space="preserve">B00O2R38C4</t>
  </si>
  <si>
    <t xml:space="preserve">Luminous Vento Deluxe 150 mm Exhaust Fan for Kitchen, Bathroom with Strong Air Suction, Rust Proof Body and Dust Protection Shutters (2-Year Warranty, White)</t>
  </si>
  <si>
    <t xml:space="preserve">B0B2CZTCL2</t>
  </si>
  <si>
    <t xml:space="preserve">Wipro Vesta 1.8 litre Cool touch electric Kettle with Auto cut off | Double Layer outer body | Triple Protection - Dry Boil, Steam &amp; Over Heat |Stainless Steel Inner Body | (Black, 1500 Watt)</t>
  </si>
  <si>
    <t xml:space="preserve">B00PVT30YI</t>
  </si>
  <si>
    <t xml:space="preserve">Kitchen Mart Stainless Steel South Indian Filter Coffee Drip Maker, Madras Kappi, Drip Decotion Maker160ml (2 Cup)</t>
  </si>
  <si>
    <t xml:space="preserve">B00SH18114</t>
  </si>
  <si>
    <t xml:space="preserve">Ikea 903.391.72 Polypropylene Plastic Solid Bevara Sealing Clip (Multicolour) - 30 Pack, Adjustable</t>
  </si>
  <si>
    <t xml:space="preserve">B00E9G8KOY</t>
  </si>
  <si>
    <t xml:space="preserve">HUL Pureit Germkill kit for Classic 23 L water purifier - 1500 L Capacity</t>
  </si>
  <si>
    <t xml:space="preserve">B00H3H03Q4</t>
  </si>
  <si>
    <t xml:space="preserve">HUL Pureit Germkill kit for Classic 23 L water purifier - 3000 L Capacity</t>
  </si>
  <si>
    <t xml:space="preserve">B0756K5DYZ</t>
  </si>
  <si>
    <t xml:space="preserve">Prestige Iris 750 Watt Mixer Grinder with 3 Stainless Steel Jar + 1 Juicer Jar (White and Blue)</t>
  </si>
  <si>
    <t xml:space="preserve">B0188KPKB2</t>
  </si>
  <si>
    <t xml:space="preserve">Preethi Blue Leaf Diamond MG-214 mixer grinder 750 watt (Blue/White), 3 jars &amp; Flexi Lid, FBT motor with 2yr Guarantee &amp; Lifelong Free Service</t>
  </si>
  <si>
    <t xml:space="preserve">B091KNVNS9</t>
  </si>
  <si>
    <t xml:space="preserve">Themisto 350 Watts Egg Boiler-Blue</t>
  </si>
  <si>
    <t xml:space="preserve">B075JJ5NQC</t>
  </si>
  <si>
    <t xml:space="preserve">Butterfly Smart Mixer Grinder, 750W, 4 Jars (Grey)</t>
  </si>
  <si>
    <t xml:space="preserve">B0B5KZ3C53</t>
  </si>
  <si>
    <t xml:space="preserve">KENT Smart Multi Cooker Cum Kettle 1.2 Liter 800 Watts, Electric Cooker with Steamer &amp; Boiler for Idlis, Instant Noodles, Momos, Eggs, &amp; Steam Vegetables, Inner Stainless Steel &amp; Cool Touch Outer Body</t>
  </si>
  <si>
    <t xml:space="preserve">B09NTHQRW3</t>
  </si>
  <si>
    <t xml:space="preserve">InstaCuppa Portable Blender for Smoothie, Milk Shakes, Crushing Ice and Juices, USB Rechargeable Personal Blender Machine for Kitchen with 2000 mAh Rechargeable Battery, 150 Watt Motor, 400 ML</t>
  </si>
  <si>
    <t xml:space="preserve">B008YW3CYM</t>
  </si>
  <si>
    <t xml:space="preserve">USHA EI 1602 1000 W Lightweight Dry Iron with Non-Stick Soleplate (Multi-colour)</t>
  </si>
  <si>
    <t xml:space="preserve">B07QHHCB27</t>
  </si>
  <si>
    <t xml:space="preserve">KENT 16044 Hand Blender Stainless Steel 400 W | Variable Speed Control | Easy to Clean and Store | Low Noise Operation</t>
  </si>
  <si>
    <t xml:space="preserve">B0BMFD94VD</t>
  </si>
  <si>
    <t xml:space="preserve">White Feather Portable Heat Sealer Mini Sealing Machine for Food Storage Vacuum Bag, Chip, Plastic, Snack Bags, Package Home Closer Storage Tool (Multicolor) Random Colour</t>
  </si>
  <si>
    <t xml:space="preserve">B00HZIOGXW</t>
  </si>
  <si>
    <t xml:space="preserve">Crompton IHL 152 1500-Watt Immersion Water Heater with Copper Heating Element (Black)</t>
  </si>
  <si>
    <t xml:space="preserve">B09CKSYBLR</t>
  </si>
  <si>
    <t xml:space="preserve">InstaCuppa Rechargeable Mini Electric Chopper - Stainless Steel Blades, One Touch Operation, for Mincing Garlic, Ginger, Onion, Vegetable, Meat, Nuts, (White, 250 ML, Pack of 1, 45 Watts)</t>
  </si>
  <si>
    <t xml:space="preserve">B072J83V9W</t>
  </si>
  <si>
    <t xml:space="preserve">Philips PowerPro FC9352/01 Compact Bagless Vacuum Cleaner (Blue)</t>
  </si>
  <si>
    <t xml:space="preserve">B09MTLG4TP</t>
  </si>
  <si>
    <t xml:space="preserve">SAIELLIN Electric Lint Remover for Clothes Fabric Shaver Lint Shaver for Woolen Clothes Blanket Jackets Stainless Steel Blades, Clothes and Furniture Lint Roller for Fabrics Portable Lint Shavers (White Orange)</t>
  </si>
  <si>
    <t xml:space="preserve">B097XJQZ8H</t>
  </si>
  <si>
    <t xml:space="preserve">Cookwell Bullet Mixer Grinder (5 Jars, 3 Blades, Silver)</t>
  </si>
  <si>
    <t xml:space="preserve">B00935MD1C</t>
  </si>
  <si>
    <t xml:space="preserve">Prestige PRWO 1.8-2 700-Watts Delight Electric Rice Cooker with 2 Aluminium Cooking Pans - 1.8 Liters, White</t>
  </si>
  <si>
    <t xml:space="preserve">B0BR4F878Q</t>
  </si>
  <si>
    <t xml:space="preserve">Swiffer Instant Electric Water Heater Faucet Tap Home-Kitchen Instantaneous Water Heater Tank less for Tap, LED Electric Head Water Heaters Tail Gallon Comfort(3000W) ((Pack of 1))</t>
  </si>
  <si>
    <t xml:space="preserve">B0B3G5XZN5</t>
  </si>
  <si>
    <t xml:space="preserve">InstaCuppa Portable Blender for Smoothie, Milk Shakes, Crushing Ice and Juices, USB Rechargeable Personal Blender Machine for Kitchen with 4000 mAh Rechargeable Battery, 230 Watt Motor, 500 ML</t>
  </si>
  <si>
    <t xml:space="preserve">B07WKB69RS</t>
  </si>
  <si>
    <t xml:space="preserve">Lifelong LLWH106 Flash 3 Litres Instant Water Heater for Home Use, 8 Bar Pressure,Power On/Off Indicator and Advanced Safety, (3000W, ISI Certified, 2 Years Warranty)</t>
  </si>
  <si>
    <t xml:space="preserve">B09DL9978Y</t>
  </si>
  <si>
    <t xml:space="preserve">Hindware Atlantic Compacto 3 Litre Instant water heater with Stainless Steel Tank, Robust Construction, Pressure Relief Valve And I-thermostat Feature (White And Grey)</t>
  </si>
  <si>
    <t xml:space="preserve">B06XMZV7RH</t>
  </si>
  <si>
    <t xml:space="preserve">ATOM Selves-MH 200 GM Digital Pocket Scale</t>
  </si>
  <si>
    <t xml:space="preserve">B09WMTJPG7</t>
  </si>
  <si>
    <t xml:space="preserve">Crompton InstaBliss 3-L Instant Water Heater (Geyser) with Advanced 4 Level Safety</t>
  </si>
  <si>
    <t xml:space="preserve">B09ZK6THRR</t>
  </si>
  <si>
    <t xml:space="preserve">Croma 1100 W Dry Iron with Weilburger Dual Soleplate Coating (CRSHAH702SIR11, White)</t>
  </si>
  <si>
    <t xml:space="preserve">B07MP21WJD</t>
  </si>
  <si>
    <t xml:space="preserve">Lint Roller with 40 Paper Sheets, 22 x 5 cm (Grey)</t>
  </si>
  <si>
    <t xml:space="preserve">B09XB1R2F3</t>
  </si>
  <si>
    <t xml:space="preserve">Portable Lint Remover Pet Fur Remover Clothes Fuzz Remover Pet Hairball Quick Epilator Shaver Removing Dust Pet Hair from Clothing Furniture Perfect for Clothing,Furniture,Couch,Carpet (Standard)</t>
  </si>
  <si>
    <t xml:space="preserve">B08Y5QJXSR</t>
  </si>
  <si>
    <t xml:space="preserve">atomberg Renesa 1200mm BLDC Motor with Remote 3 Blade Energy Saving Ceiling Fan (Matt Black)</t>
  </si>
  <si>
    <t xml:space="preserve">B07WJXCTG9</t>
  </si>
  <si>
    <t xml:space="preserve">Pigeon by Stovekraft Amaze Plus Electric Kettle (14313) with Stainless Steel Body, 1.8 litre, used for boiling Water, making tea and coffee, instant noodles, soup etc. 1500 Watt (Silver)</t>
  </si>
  <si>
    <t xml:space="preserve">B09NBZ36F7</t>
  </si>
  <si>
    <t xml:space="preserve">Usha CookJoy (CJ1600WPC) 1600 Watt Induction cooktop (Black)</t>
  </si>
  <si>
    <t xml:space="preserve">B0912WJ87V</t>
  </si>
  <si>
    <t xml:space="preserve">Reffair AX30 [MAX] Portable Air Purifier for Car, Home &amp; Office | Smart Ionizer Function | H13 Grade True HEPA Filter [Internationally Tested] Aromabuds Fragrance Option - Black</t>
  </si>
  <si>
    <t xml:space="preserve">Car Accessories</t>
  </si>
  <si>
    <t xml:space="preserve">B0BMTZ4T1D</t>
  </si>
  <si>
    <t xml:space="preserve">!!1000 Watt/2000-Watt Room Heater!! Fan Heater!!Pure White!!HN-2500!!Made in India!!</t>
  </si>
  <si>
    <t xml:space="preserve">B07Z51CGGH</t>
  </si>
  <si>
    <t xml:space="preserve">Eureka Forbes Wet &amp; Dry Ultimo 1400 Watts Multipurpose Vacuum Cleaner,Power Suction &amp; Blower with 20 litres Tank Capacity,6 Accessories,1 Year Warranty,Compact,Light Weight &amp; Easy to use (Red)</t>
  </si>
  <si>
    <t xml:space="preserve">B0BDG6QDYD</t>
  </si>
  <si>
    <t xml:space="preserve">Activa Heat-Max 2000 Watts Room Heater (White color ) with ABS body</t>
  </si>
  <si>
    <t xml:space="preserve">B00YQLG7GK</t>
  </si>
  <si>
    <t xml:space="preserve">PHILIPS HL1655/00 Hand Blender, White Jar 250W</t>
  </si>
  <si>
    <t xml:space="preserve">B00SMJPA9C</t>
  </si>
  <si>
    <t xml:space="preserve">Bajaj DX-2 600W Dry Iron with Advance Soleplate and Anti-Bacterial German Coating Technology, Grey</t>
  </si>
  <si>
    <t xml:space="preserve">B0B9RN5X8B</t>
  </si>
  <si>
    <t xml:space="preserve">V-Guard Zio Instant Water Geyser | 3 Litre | 3000 W Heating | White-Blue | | 2 Year Warranty</t>
  </si>
  <si>
    <t xml:space="preserve">B08QW937WV</t>
  </si>
  <si>
    <t xml:space="preserve">Homeistic Applience™ Instant Electric Water Heater Faucet Tap For Kitchen And Bathroom Sink Digital Water Heating Tap with Shower Head ABS Body- Shock Proof (Pack Of 1. White)</t>
  </si>
  <si>
    <t xml:space="preserve">B0B4PPD89B</t>
  </si>
  <si>
    <t xml:space="preserve">Kitchenwell 18Pc Plastic Food Snack Bag Pouch Clip Sealer for Keeping Food Fresh for Home, Kitchen, Camping Snack Seal Sealing Bag Clips (Multi-Color) | (Pack of 18)|</t>
  </si>
  <si>
    <t xml:space="preserve">B08GM5S4CQ</t>
  </si>
  <si>
    <t xml:space="preserve">Havells Instanio 10 Litre Storage Water Heater with Flexi Pipe and Free installation (White Blue)</t>
  </si>
  <si>
    <t xml:space="preserve">B00NM6MO26</t>
  </si>
  <si>
    <t xml:space="preserve">Prestige PIC 16.0+ 1900W Induction Cooktop with Soft Touch Push Buttons (Black)</t>
  </si>
  <si>
    <t xml:space="preserve">B083M7WPZD</t>
  </si>
  <si>
    <t xml:space="preserve">AGARO 33398 Rapid 1000-Watt, 10-Litre Wet &amp; Dry Vacuum Cleaner, with Blower Function (Red &amp; Black)</t>
  </si>
  <si>
    <t xml:space="preserve">B07GLSKXS1</t>
  </si>
  <si>
    <t xml:space="preserve">KENT 16026 Electric Kettle Stainless Steel 1.8 L | 1500W | Superfast Boiling | Auto Shut-Off | Boil Dry Protection | 360° Rotating Base | Water Level Indicator</t>
  </si>
  <si>
    <t xml:space="preserve">B09F6KL23R</t>
  </si>
  <si>
    <t xml:space="preserve">SKYTONE Stainless Steel Electric Meat Grinders with Bowl 700W Heavy for Kitchen Food Chopper, Meat, Vegetables, Onion , Garlic Slicer Dicer, Fruit &amp; Nuts Blender (2L, 700 Watts)</t>
  </si>
  <si>
    <t xml:space="preserve">B094G9L9LT</t>
  </si>
  <si>
    <t xml:space="preserve">KENT 16088 Vogue Electric Kettle 1.8 Litre 1500 W | Stainless Steel body | Auto shut off over heating protection | 1 Year Warranty</t>
  </si>
  <si>
    <t xml:space="preserve">B09FZ89DK6</t>
  </si>
  <si>
    <t xml:space="preserve">Eureka Forbes Supervac 1600 Watts Powerful Suction,bagless Vacuum Cleaner with cyclonic Technology,7 Accessories,1 Year Warranty,Compact,Lightweight &amp; Easy to use (Red)</t>
  </si>
  <si>
    <t xml:space="preserve">B0811VCGL5</t>
  </si>
  <si>
    <t xml:space="preserve">Mi Air Purifier 3 with True HEPA Filter, removes air pollutants, smoke, odor, bacteria &amp; viruses with 99.97% efficiency, coverage area up to 484 sq. ft., Wi-Fi &amp; Voice control - Alexa/GA (white)</t>
  </si>
  <si>
    <t xml:space="preserve">B07FXLC2G2</t>
  </si>
  <si>
    <t xml:space="preserve">Tata Swach Bulb 6000-Litre Cartridge, 1 Piece, White, Hollow Fiber Membrane</t>
  </si>
  <si>
    <t xml:space="preserve">B01LYU3BZF</t>
  </si>
  <si>
    <t xml:space="preserve">Havells Ambrose 1200mm Ceiling Fan (Gold Mist Wood)</t>
  </si>
  <si>
    <t xml:space="preserve">B083RC4WFJ</t>
  </si>
  <si>
    <t xml:space="preserve">PrettyKrafts Laundry Bag / Basket for Dirty Clothes, Folding Round Laundry Bag,Set of 2, Black Wave</t>
  </si>
  <si>
    <t xml:space="preserve">B09SFRNKSR</t>
  </si>
  <si>
    <t xml:space="preserve">FABWARE Lint Remover for Clothes - Sticky Lint Roller for Clothes, Furniture, Wool, Coat, Car Seats, Carpet, Fabric, Dust Cleaner, Pet Hair Remover with 1 Handle &amp; 1 Refill Total 60 Sheets &amp; 1 Cover</t>
  </si>
  <si>
    <t xml:space="preserve">B07NRTCDS5</t>
  </si>
  <si>
    <t xml:space="preserve">Brayden Fito Atom Rechargeable Smoothie Blender with 2000 mAh Battery and 3.7V Motor with 400ml Tritan Jar (Blue)</t>
  </si>
  <si>
    <t xml:space="preserve">B07SPVMSC6</t>
  </si>
  <si>
    <t xml:space="preserve">Bajaj Frore 1200 mm Ceiling Fan (Brown)</t>
  </si>
  <si>
    <t xml:space="preserve">B09H3BXWTK</t>
  </si>
  <si>
    <t xml:space="preserve">Venus Digital Kitchen Weighing Scale &amp; Food Weight Machine for Health, Fitness, Home Baking &amp; Cooking Scale, 2 Year Warranty &amp; Battery Included (Weighing Scale Without Bowl) Capacity 10 Kg, 1 Gm</t>
  </si>
  <si>
    <t xml:space="preserve">B0073QGKAS</t>
  </si>
  <si>
    <t xml:space="preserve">Bajaj ATX 4 750-Watt Pop-up Toaster (White)</t>
  </si>
  <si>
    <t xml:space="preserve">B08GJ57MKL</t>
  </si>
  <si>
    <t xml:space="preserve">Coway Professional Air Purifier for Home, Longest Filter Life 8500 Hrs, Green True HEPA Filter, Traps 99.99% Virus &amp; PM 0.1 Particles, Warranty 7 Years (AirMega 150 (AP-1019C))</t>
  </si>
  <si>
    <t xml:space="preserve">B009DA69W6</t>
  </si>
  <si>
    <t xml:space="preserve">KENT Gold Optima Gravity Water Purifier (11016) | UF Technology Based | Non-Electric &amp; Chemical Free | Counter Top | 10L Storage | White</t>
  </si>
  <si>
    <t xml:space="preserve">B099PR2GQJ</t>
  </si>
  <si>
    <t xml:space="preserve">HOMEPACK 750W Radiant Room Home Office Heaters For Winter</t>
  </si>
  <si>
    <t xml:space="preserve">B08G8H8DPL</t>
  </si>
  <si>
    <t xml:space="preserve">Bajaj Rex 750W Mixer Grinder with Nutri Pro Feature, 4 Jars, White</t>
  </si>
  <si>
    <t xml:space="preserve">B08VGM3YMF</t>
  </si>
  <si>
    <t xml:space="preserve">Heart Home Waterproof Round Non Wovan Laundry Bag/Hamper|Metalic Printed With Handles|Foldable Bin &amp; 45 Liter Capicity|Size 37 x 37 x 49, Pack of 1 (Grey &amp; Black)-HEARTXY11447</t>
  </si>
  <si>
    <t xml:space="preserve">B08TTRVWKY</t>
  </si>
  <si>
    <t xml:space="preserve">MILTON Smart Egg Boiler 360-Watts (Transparent and Silver Grey), Boil Up to 7 Eggs</t>
  </si>
  <si>
    <t xml:space="preserve">B07T4D9FNY</t>
  </si>
  <si>
    <t xml:space="preserve">iBELL SEK15L Premium 1.5 Litre Stainless Steel Electric Kettle,1500W Auto Cut-Off Feature,Silver with Black</t>
  </si>
  <si>
    <t xml:space="preserve">B07RX42D3D</t>
  </si>
  <si>
    <t xml:space="preserve">Tosaa T2STSR Sandwich Gas Toaster Regular (Black)</t>
  </si>
  <si>
    <t xml:space="preserve">B08WRKSF9D</t>
  </si>
  <si>
    <t xml:space="preserve">V-Guard Divino 5 Star Rated 15 Litre Storage Water Heater (Geyser) with Advanced Safety Features, White</t>
  </si>
  <si>
    <t xml:space="preserve">B09R83SFYV</t>
  </si>
  <si>
    <t xml:space="preserve">Akiara® - Makes life easy Mini Sewing Machine with Table Set | Tailoring Machine | Hand Sewing Machine with extension table, foot pedal, adapter</t>
  </si>
  <si>
    <t xml:space="preserve">B07989VV5K</t>
  </si>
  <si>
    <t xml:space="preserve">Usha Steam Pro SI 3713, 1300 W Steam Iron, Powerful steam Output up to 18 g/min, Non-Stick Soleplate (White &amp; Blue)</t>
  </si>
  <si>
    <t xml:space="preserve">B07FL3WRX5</t>
  </si>
  <si>
    <t xml:space="preserve">Wonderchef Nutri-blend Complete Kitchen Machine | 22000 RPM Mixer Grinder, Blender, Chopper, Juicer | 400W Powerful motor | SS Blades | 4 Unbreakable Jars | 2 Years Warranty | Online Recipe Book By Chef Sanjeev Kapoor | Black</t>
  </si>
  <si>
    <t xml:space="preserve">B0BPCJM7TB</t>
  </si>
  <si>
    <t xml:space="preserve">WIDEWINGS Electric Handheld Milk Wand Mixer Frother for Latte Coffee Hot Milk, Milk Frother for Coffee, Egg Beater, Hand Blender, Coffee Beater with Stand</t>
  </si>
  <si>
    <t xml:space="preserve">B08H673XKN</t>
  </si>
  <si>
    <t xml:space="preserve">Morphy Richards Icon Superb 750W Mixer Grinder, 4 Jars, Silver and Black</t>
  </si>
  <si>
    <t xml:space="preserve">B07DXRGWDJ</t>
  </si>
  <si>
    <t xml:space="preserve">Philips Handheld Garment Steamer GC360/30 - Vertical &amp; Horizontal Steaming, 1200 Watt, up to 22g/min</t>
  </si>
  <si>
    <t xml:space="preserve">B08243SKCK</t>
  </si>
  <si>
    <t xml:space="preserve">Vedini Transparent Empty Refillable Reusable Fine Mist Spray Bottle for Perfume, Travel with DIY Sticker Set ( 100ml, Pack of 4)</t>
  </si>
  <si>
    <t xml:space="preserve">B09SPTNG58</t>
  </si>
  <si>
    <t xml:space="preserve">Crompton Sea Sapphira 1200 mm Ultra High Speed 3 Blade Ceiling Fan (Lustre Brown, Pack of 1)</t>
  </si>
  <si>
    <t xml:space="preserve">B083J64CBB</t>
  </si>
  <si>
    <t xml:space="preserve">Kuber Industries Waterproof Canvas Laundry Bag/Hamper|Metalic Printed With Handles|Foldable Bin &amp; 45 Liter Capicity|Size 37 x 37 x 46, Pack of 1 (Brown)</t>
  </si>
  <si>
    <t xml:space="preserve">B08JV91JTK</t>
  </si>
  <si>
    <t xml:space="preserve">JM SELLER 180 W 2021 Edition Electric Beater High Speed Hand Mixer Egg Beater for Cake Making and Whipping Cream with 7 Speed Control (White) with Free Spatula and Oil Brush</t>
  </si>
  <si>
    <t xml:space="preserve">B0BQ3K23Y1</t>
  </si>
  <si>
    <t xml:space="preserve">Oratech Coffee Frother electric, milk frother electric, coffee beater, cappuccino maker, Coffee Foamer, Mocktail Mixer, Coffee Foam Maker, coffee whisker electric, Froth Maker, coffee stirrers electric, coffee frothers, Coffee Blender, (6 Month Warranty) (Multicolour)</t>
  </si>
  <si>
    <t xml:space="preserve">B09MT94QLL</t>
  </si>
  <si>
    <t xml:space="preserve">Havells Glaze 74W Pearl Ivory Gold Ceiling Fan, Sweep: 1200 Mm</t>
  </si>
  <si>
    <t xml:space="preserve">B07NKNBTT3</t>
  </si>
  <si>
    <t xml:space="preserve">Pick Ur Needs® Lint Remover for Clothes High Range Rechargeable Lint Shaver for All Types of Clothes, Fabrics, Blanket with 1 Extra Blade Multicolor (Rechargeable)</t>
  </si>
  <si>
    <t xml:space="preserve">B09KPXTZXN</t>
  </si>
  <si>
    <t xml:space="preserve">Rico Japanese Technology Rechargeable Wireless Electric Chopper with Replacement Warranty - Stainless Steel Blades, One Touch Operation, 10 Seconds Chopping, Mincing Vegetable, Meat - 250 ML, 30 Watts</t>
  </si>
  <si>
    <t xml:space="preserve">B078HG2ZPS</t>
  </si>
  <si>
    <t xml:space="preserve">Butterfly Smart Wet Grinder, 2L (White) with Coconut Scrapper Attachment, Output - 150 W, Input 260 W</t>
  </si>
  <si>
    <t xml:space="preserve">B07N2MGB3G</t>
  </si>
  <si>
    <t xml:space="preserve">AGARO Marvel 9 Liters Oven Toaster Griller, Cake Baking OTG (Black)</t>
  </si>
  <si>
    <t xml:space="preserve">B008LN8KDM</t>
  </si>
  <si>
    <t xml:space="preserve">Philips GC1920/28 1440-Watt Non-Stick Soleplate Steam Iron</t>
  </si>
  <si>
    <t xml:space="preserve">B08MZNT7GP</t>
  </si>
  <si>
    <t xml:space="preserve">Havells OFR 13 Wave Fin with PTC Fan Heater 2900 Watts (Black)</t>
  </si>
  <si>
    <t xml:space="preserve">B009P2L7CO</t>
  </si>
  <si>
    <t xml:space="preserve">Bajaj DHX-9 1000W Heavy Weight Dry Iron with Advance Soleplate and Anti-Bacterial German Coating Technology, Ivory</t>
  </si>
  <si>
    <t xml:space="preserve">B07YC8JHMB</t>
  </si>
  <si>
    <t xml:space="preserve">Aquasure From Aquaguard Amaze RO+UV+MTDS,7L storage water purifier,suitable for borewell,tanker,municipal water (Grey) from Eureka Forbes</t>
  </si>
  <si>
    <t xml:space="preserve">B0BNQMF152</t>
  </si>
  <si>
    <t xml:space="preserve">ROYAL STEP Portable Electric USB Juice Maker Juicer Bottle Blender Grinder Mixer,6 Blades Rechargeable Bottle with (MULTII) (MULTI COLOUR 6 BLED JUICER MIXER)</t>
  </si>
  <si>
    <t xml:space="preserve">B08J7VCT12</t>
  </si>
  <si>
    <t xml:space="preserve">KENT 16068 Zoom Vacuum Cleaner for Home and Car 130 W | Cordless, Hoseless, Rechargeable HEPA Filters Vacuum Cleaner with Cyclonic Technology | Bagless Design and Multi Nozzle Operation | Blue</t>
  </si>
  <si>
    <t xml:space="preserve">B0989W6J2F</t>
  </si>
  <si>
    <t xml:space="preserve">ENEM Sealing Machine | 12 Inch (300 mm) | 1 Year Warranty | Full Customer Support | Beep Sound Function | Plastic Packing Machine | Plastic Bag Sealing Machine | Heat Sealer Machine | Plastic Sealing Machine | Blue | Made in India</t>
  </si>
  <si>
    <t xml:space="preserve">B0B84KSH3X</t>
  </si>
  <si>
    <t xml:space="preserve">Wipro Vesta 1200 Watt GD203 Heavyweight Automatic Dry Iron| Quick Heat Up| Anti bacterial German Weilburger Double Coated Black Soleplate |2 Years Warranty</t>
  </si>
  <si>
    <t xml:space="preserve">B08HLC7Z3G</t>
  </si>
  <si>
    <t xml:space="preserve">Inalsa Electric Kettle Prism Inox - 1350 W with LED Illumination &amp; Boro-Silicate Body, 1.8 L Capacity along with Cordless Base, 2 Year Warranty (Black)</t>
  </si>
  <si>
    <t xml:space="preserve">B0BN6M3TCM</t>
  </si>
  <si>
    <t xml:space="preserve">VRPRIME Lint Roller Lint Remover for Clothes, Pet | 360 Sheets Reusable Sticky Easy-Tear Sheet Brush for Clothes, Furniture, Carpet, Dog Fur, Sweater, Dust &amp; Dirt (4 Rolls - 90 Sheet Each Roll)</t>
  </si>
  <si>
    <t xml:space="preserve">B01L6MT7E0</t>
  </si>
  <si>
    <t xml:space="preserve">Philips AC1215/20 Air purifier, removes 99.97% airborne pollutants, 4-stage filtration with True HEPA filter (white)</t>
  </si>
  <si>
    <t xml:space="preserve">B0B9F9PT8R</t>
  </si>
  <si>
    <t xml:space="preserve">Eopora PTC Ceramic Fast Heating Room Heater for Bedroom, 1500/1000 Watts Room Heater for Home, Electric Heater, Electric Fan Heater for Home Office Bedroom (White)</t>
  </si>
  <si>
    <t xml:space="preserve">B0883LQJ6B</t>
  </si>
  <si>
    <t xml:space="preserve">Usha Goliath GO1200WG Heavy Weight 1200-Watt Dry Iron, 1.8 Kg(Red)</t>
  </si>
  <si>
    <t xml:space="preserve">B099Z83VRC</t>
  </si>
  <si>
    <t xml:space="preserve">Wipro Vesta Electric Egg Boiler, 360 Watts, 3 Boiling Modes, Stainless Steel Body and Heating Plate, Boils up to 7 Eggs at a time, Automatic Shut Down, White, Standard (VB021070)</t>
  </si>
  <si>
    <t xml:space="preserve">B00S9BSJC8</t>
  </si>
  <si>
    <t xml:space="preserve">Philips Viva Collection HR1832/00 1.5-Litre400-Watt Juicer (Ink Black)</t>
  </si>
  <si>
    <t xml:space="preserve">B0B4SJKRDF</t>
  </si>
  <si>
    <t xml:space="preserve">Kitchenwell Multipurpose Portable Electronic Digital Weighing Scale Weight Machine | Weight Machine | 10 Kg</t>
  </si>
  <si>
    <t xml:space="preserve">B0BM4KTNL1</t>
  </si>
  <si>
    <t xml:space="preserve">FIGMENT Handheld Milk Frother Rechargeable, 3-Speed Electric Frother for Coffee with 2 Whisks and Coffee Decoration Tool, Coffee Frother Mixer, CRESCENT ENTERPRISES VRW0.50BK (A1)</t>
  </si>
  <si>
    <t xml:space="preserve">B08S6RKT4L</t>
  </si>
  <si>
    <t xml:space="preserve">Balzano High Speed Nutri Blender/Mixer/Smoothie Maker - 500 Watt - Silver, 2 Jar</t>
  </si>
  <si>
    <t xml:space="preserve">B09SZ5TWHW</t>
  </si>
  <si>
    <t xml:space="preserve">Swiss Military VC03 Wireless Car Vacuum Cleaner | Wireless Vacuum Cleaner for Home, Car, Living Room | Wireless Vacuum Cleaner Dust Collection/Lighting Car Pet Hair Vacuum with Powerful Motor</t>
  </si>
  <si>
    <t xml:space="preserve">B0BLC2BYPX</t>
  </si>
  <si>
    <t xml:space="preserve">Zuvexa USB Rechargeable Electric Foam Maker - Handheld Milk Wand Mixer Frother for Hot Milk, Hand Blender Coffee, Egg Beater (Black)</t>
  </si>
  <si>
    <t xml:space="preserve">B00P0R95EA</t>
  </si>
  <si>
    <t xml:space="preserve">Usha IH2415 1500-Watt Immersion Heater (Silver)</t>
  </si>
  <si>
    <t xml:space="preserve">B07W4HTS8Q</t>
  </si>
  <si>
    <t xml:space="preserve">ACTIVA Instant 3 LTR 3 KVA SPECIAL Anti Rust Coated Tank Geyser with Full ABS Body with 5 Year Warranty Premium (White)</t>
  </si>
  <si>
    <t xml:space="preserve">B078JBK4GX</t>
  </si>
  <si>
    <t xml:space="preserve">Havells Instanio 1-Litre 3KW Instant Water Heater (Geyser), White Blue</t>
  </si>
  <si>
    <t xml:space="preserve">B08S7V8YTN</t>
  </si>
  <si>
    <t xml:space="preserve">Lifelong 2-in1 Egg Boiler and Poacher 500-Watt (Transparent and Silver Grey), Boil 8 eggs, Poach 4 eggs, Easy to clean| 3 Boiling Modes, Stainless Steel Body and Heating Plate, Automatic Turn-Off</t>
  </si>
  <si>
    <t xml:space="preserve">B07H5PBN54</t>
  </si>
  <si>
    <t xml:space="preserve">INDIAS®™ Electro-Instant Water Geyser A.B.S. Body Shock Proof Can be Used in Bathroom, Kitchen, wash Area, Hotels, Hospital etc.</t>
  </si>
  <si>
    <t xml:space="preserve">B07YCBSCYB</t>
  </si>
  <si>
    <t xml:space="preserve">AmazonBasics Induction Cooktop 1600 Watt (Black)</t>
  </si>
  <si>
    <t xml:space="preserve">B098T9CJVQ</t>
  </si>
  <si>
    <t xml:space="preserve">Sui Generis Electric Handheld Milk Wand Mixer Frother for Latte Coffee Hot Milk, Milk Frother, Electric Coffee Beater, Egg Beater, Latte Maker, Mini Hand Blender Cappuccino Maker (Multicolor)</t>
  </si>
  <si>
    <t xml:space="preserve">B01KCSGBU2</t>
  </si>
  <si>
    <t xml:space="preserve">Philips Air Purifier Ac2887/20,Vitashield Intelligent Purification,Long Hepa Filter Life Upto 17000 Hours,Removes 99.9% Airborne Viruses &amp; Bacteria,99.97% Airborne Pollutants,Ideal For Master Bedroom</t>
  </si>
  <si>
    <t xml:space="preserve">B095XCRDQW</t>
  </si>
  <si>
    <t xml:space="preserve">Esquire Laundry Basket Brown, 50 Ltr Capacity(Plastic)</t>
  </si>
  <si>
    <t xml:space="preserve">B09CTWFV5W</t>
  </si>
  <si>
    <t xml:space="preserve">PHILIPS Air Fryer HD9200/90, uses up to 90% less fat, 1400W, 4.1 Liter, with Rapid Air Technology (Black), Large</t>
  </si>
  <si>
    <t xml:space="preserve">B0B7NWGXS6</t>
  </si>
  <si>
    <t xml:space="preserve">Havells Bero Quartz Heater Black 800w 2 Heat Settings 2 Year Product Warranty</t>
  </si>
  <si>
    <t xml:space="preserve">B07DZ986Q2</t>
  </si>
  <si>
    <t xml:space="preserve">Philips EasyTouch Plus Standing Garment Steamer GC523/60 - 1600 Watt, 5 Steam Settings, Up to 32 g/min steam, with Double Pole</t>
  </si>
  <si>
    <t xml:space="preserve">B07KKJPTWB</t>
  </si>
  <si>
    <t xml:space="preserve">Brayden Chopro, Electric Vegetable Chopper for Kitchen with 500 ML Capacity, 400 Watts Copper Motor and 4 Bi-Level SS Blades (Black)</t>
  </si>
  <si>
    <t xml:space="preserve">B071R3LHFM</t>
  </si>
  <si>
    <t xml:space="preserve">Wonderchef Nutri-blend Mixer, Grinder &amp; Blender | Powerful 400W 22000 RPM motor | Stainless steel Blades | 3 unbreakable jars | 2 Years warranty | Online recipe book by Chef Sanjeev Kapoor | Black</t>
  </si>
  <si>
    <t xml:space="preserve">B086X18Q71</t>
  </si>
  <si>
    <t xml:space="preserve">Usha Janome Dream Stitch Automatic Zig-Zag Electric Sewing Machine with 14 Stitch Function (White and Blue) with Free Sewing KIT Worth RS 500</t>
  </si>
  <si>
    <t xml:space="preserve">B07WVQG8WZ</t>
  </si>
  <si>
    <t xml:space="preserve">Black+Decker Handheld Portable Garment Steamer 1500 Watts with Anti Calc (Violet)</t>
  </si>
  <si>
    <t xml:space="preserve">B0BFBNXS94</t>
  </si>
  <si>
    <t xml:space="preserve">Personal Size Blender, Portable Blender, Battery Powered USB Blender, with Four Blades, Mini Blender Travel Bottle for Juice, Shakes, and Smoothies (Pink)</t>
  </si>
  <si>
    <t xml:space="preserve">B071113J7M</t>
  </si>
  <si>
    <t xml:space="preserve">Sujata Powermatic Plus 900 Watts Juicer Mixer Grinder</t>
  </si>
  <si>
    <t xml:space="preserve">B09YLWT89W</t>
  </si>
  <si>
    <t xml:space="preserve">Sure From Aquaguard Delight NXT RO+UV+UF+Taste Adjuster(MTDS),6L water purifier,8 stages purification,Suitable for borewell,tanker,municipal water(Black) from Eureka Forbes</t>
  </si>
  <si>
    <t xml:space="preserve">B0814LP6S9</t>
  </si>
  <si>
    <t xml:space="preserve">PrettyKrafts Laundry Basket for clothes with Lid &amp; Handles, Toys Organiser, 75 Ltr Grey</t>
  </si>
  <si>
    <t xml:space="preserve">B07BKSSDR2</t>
  </si>
  <si>
    <t xml:space="preserve">Dr Trust Electronic Kitchen Digital Scale Weighing Machine (Blue)</t>
  </si>
  <si>
    <t xml:space="preserve">Home Medical Supplies &amp; Equipment</t>
  </si>
  <si>
    <t xml:space="preserve">B09VGS66FV</t>
  </si>
  <si>
    <t xml:space="preserve">Tesora - Inspired by you Large Premium Electric Kettle 1.8L, Stainless Steel Inner Body - Auto Power Cut, Boil Dry Protection &amp; Cool Touch Double Wall, Portable | 1500 Watts |1 Year Warranty | (White)</t>
  </si>
  <si>
    <t xml:space="preserve">B07RCGTZ4M</t>
  </si>
  <si>
    <t xml:space="preserve">AGARO Ace 1600 Watts, 21.5 kPa Suction Power, 21 litres Wet &amp; Dry Stainless Steel Vacuum Cleaner with Blower Function and Washable Dust Bag</t>
  </si>
  <si>
    <t xml:space="preserve">B0747VDH9L</t>
  </si>
  <si>
    <t xml:space="preserve">INALSA Hand Blender 1000 Watt with Chopper, Whisker, 600 ml Multipurpose Jar|Variable Speed And Turbo Speed Function |100% Copper Motor |Low Noise |ANTI-SPLASH TECHNOLOGY|2 Year Warranty</t>
  </si>
  <si>
    <t xml:space="preserve">B08XLR6DSB</t>
  </si>
  <si>
    <t xml:space="preserve">akiara - Makes life easy Electric Handy Sewing/Stitch Handheld Cordless Portable White Sewing Machine for Home Tailoring, Hand Machine | Mini Silai | White Hand Machine with Adapter</t>
  </si>
  <si>
    <t xml:space="preserve">B08H6CZSHT</t>
  </si>
  <si>
    <t xml:space="preserve">Philips EasySpeed Plus Steam Iron GC2145/20-2200W, Quick Heat Up with up to 30 g/min steam, 110 g steam Boost, Scratch Resistant Ceramic Soleplate, Vertical steam &amp; Drip-Stop</t>
  </si>
  <si>
    <t xml:space="preserve">B07CVR2L5K</t>
  </si>
  <si>
    <t xml:space="preserve">INALSA Electric Chopper Bullet- 400 Watts with 100% Pure Copper Motor| Chop, Mince, Puree, Dice | Twin Blade Technology| 900 ml Capacity| One Touch Operation, 1.30mtr Long Power Cord (Black/Silver)</t>
  </si>
  <si>
    <t xml:space="preserve">B09J4YQYX3</t>
  </si>
  <si>
    <t xml:space="preserve">Borosil Electric Egg Boiler, 8 Egg Capacity, For Hard, Soft, Medium Boiled Eggs, Steamed Vegetables, Transparent Lid, Stainless Steel Exterior (500 Watts)</t>
  </si>
  <si>
    <t xml:space="preserve">B0B2DD8BQ8</t>
  </si>
  <si>
    <t xml:space="preserve">Wipro Vesta Grill 1000 Watt Sandwich Maker |Dual function-SW Maker&amp;Griller|Non stick Coat -BPA&amp;PTFE Free |Auto Temp Cut-off| Height Control -180ᶿ&amp;105ᶿ |2 year warranty|SS Finish|Standard size</t>
  </si>
  <si>
    <t xml:space="preserve">B0123P3PWE</t>
  </si>
  <si>
    <t xml:space="preserve">Rico IRPRO 1500 Watt Japanese Technology Electric Water Heater Immersion Rod Shockproof Protection &amp; Stainless Steel Heating Element for Instant Heating| ISI Certified 1 Year Replacement Warranty</t>
  </si>
  <si>
    <t xml:space="preserve">B08HDCWDXD</t>
  </si>
  <si>
    <t xml:space="preserve">Eureka Forbes Active Clean 700 Watts Powerful Suction &amp; Blower Vacuum Cleaner with Washable HEPA Filter &amp; 6 Accessories,1 Year Warranty,Compact,Light Weight &amp; Easy to use (Red &amp; Black)</t>
  </si>
  <si>
    <t xml:space="preserve">B0836JGZ74</t>
  </si>
  <si>
    <t xml:space="preserve">CSI INTERNATIONAL® Instant Water Geyser, Water Heater, Portable Water Heater, Geyser Made of First Class ABS Plastic 3KW (White)</t>
  </si>
  <si>
    <t xml:space="preserve">B0BCKJJN8R</t>
  </si>
  <si>
    <t xml:space="preserve">Hindware Atlantic Xceed 5L 3kW Instant Water Heater with Copper Heating Element and High Grade Stainless Steel Tank</t>
  </si>
  <si>
    <t xml:space="preserve">B008P7IF02</t>
  </si>
  <si>
    <t xml:space="preserve">Morphy Richards New Europa 800-Watt Espresso and Cappuccino 4-Cup Coffee Maker (Black)</t>
  </si>
  <si>
    <t xml:space="preserve">B08CNLYKW5</t>
  </si>
  <si>
    <t xml:space="preserve">Lifelong Power - Pro 500 Watt 3 Jar Mixer Grinder with 3 Speed Control and 1100 Watt Dry Non-Stick soleplate Iron Super Combo (White and Grey, 1 Year Warranty)</t>
  </si>
  <si>
    <t xml:space="preserve">B08C7TYHPB</t>
  </si>
  <si>
    <t xml:space="preserve">iBELL Castor CTEK15L Premium 1.5 Litre Stainless Steel Electric Kettle,1500W Auto Cut-Off Feature,Silver</t>
  </si>
  <si>
    <t xml:space="preserve">B08VJFYH6N</t>
  </si>
  <si>
    <t xml:space="preserve">BAJAJ PYGMY MINI 110 MM 10 W HIGH SPEED OPERATION, USB CHARGING, MULTI-CLIP FUNCTION PERSONAL FAN</t>
  </si>
  <si>
    <t xml:space="preserve">B08235JZFB</t>
  </si>
  <si>
    <t xml:space="preserve">Crompton InstaGlide 1000-Watts Dry Iron with American Heritage Coating, Pack of 1 Iron</t>
  </si>
  <si>
    <t xml:space="preserve">B078XFKBZL</t>
  </si>
  <si>
    <t xml:space="preserve">Prestige Clean Home Water Purifier Cartridge</t>
  </si>
  <si>
    <t xml:space="preserve">B01M265AAK</t>
  </si>
  <si>
    <t xml:space="preserve">Morphy Richards Aristo 2000 Watts PTC Room Heater (White)</t>
  </si>
  <si>
    <t xml:space="preserve">B0B694PXQJ</t>
  </si>
  <si>
    <t xml:space="preserve">Gadgetronics Digital Kitchen Weighing Scale &amp; Food Weight Machine for Health, Fitness, Home Baking &amp; Cooking (10 KGs,1 Year Warranty &amp; Batteries Included)</t>
  </si>
  <si>
    <t xml:space="preserve">B00B3VFJY2</t>
  </si>
  <si>
    <t xml:space="preserve">HUL Pureit Germkill kit for Advanced 23 L water purifier - 3000 L Capacity, Sand, Multicolour</t>
  </si>
  <si>
    <t xml:space="preserve">B08W9BK4MD</t>
  </si>
  <si>
    <t xml:space="preserve">Tom &amp; Jerry Folding Laundry Basket for Clothes with Lid &amp; Handle, Toys Organiser, 75 Litre, Green</t>
  </si>
  <si>
    <t xml:space="preserve">B09X5HD5T1</t>
  </si>
  <si>
    <t xml:space="preserve">Ikea Little Loved Corner PRODUKT Milk-frother, Coffee/Tea Frother, Handheld Milk Wand Mixer Frother, Black</t>
  </si>
  <si>
    <t xml:space="preserve">B08H6B3G96</t>
  </si>
  <si>
    <t xml:space="preserve">Philips EasySpeed Plus Steam Iron GC2147/30-2400W, Quick Heat up with up to 30 g/min steam, 150g steam Boost, Scratch Resistant Ceramic Soleplate, Vertical steam, Drip-Stop</t>
  </si>
  <si>
    <t xml:space="preserve">B09N3BFP4M</t>
  </si>
  <si>
    <t xml:space="preserve">Bajaj New Shakti Neo Plus 15 Litre 4 Star Rated Storage Water Heater (Geyser) with Multiple Safety System, White</t>
  </si>
  <si>
    <t xml:space="preserve">B09DSQXCM8</t>
  </si>
  <si>
    <t xml:space="preserve">House of Quirk Reusable Sticky Picker Cleaner Easy-Tear Sheets Travel Pet Hair Lint Rollers Brush (10cm Sheet, Set of 3 Rolls, 180 Sheets, 60 Sheets Each roll Lint Roller Remover, Multicolour)</t>
  </si>
  <si>
    <t xml:space="preserve">B01M69WCZ6</t>
  </si>
  <si>
    <t xml:space="preserve">Allin Exporters J66 Ultrasonic Humidifier Cool Mist Air Purifier for Dryness, Cold &amp; Cough Large Capacity for Room, Baby, Plants, Bedroom (2.4 L) (1 Year Warranty)</t>
  </si>
  <si>
    <t xml:space="preserve">B0BM9H2NY9</t>
  </si>
  <si>
    <t xml:space="preserve">Multifunctional 2 in 1 Electric Egg Boiling Steamer Egg Frying Pan Egg Boiler Electric Automatic Off with Egg Boiler Machine Non-Stick Electric Egg Frying Pan-Tiger Woods (Multy)</t>
  </si>
  <si>
    <t xml:space="preserve">B099FDW2ZF</t>
  </si>
  <si>
    <t xml:space="preserve">Maharaja Whiteline Nano Carbon Neo, 500 Watts Room Heater (Black, White), Standard (5200100986)</t>
  </si>
  <si>
    <t xml:space="preserve">B0B935YNR7</t>
  </si>
  <si>
    <t xml:space="preserve">KENT Electric Chopper-B for Kitchen 250 Watt | Chop, Mince, Puree, Whisk, 400 ml Capacity | Stainless Steel Double Chopping Blades | Transparent Chopping Bowl | Anti-Skid | One Touch Operation | Black</t>
  </si>
  <si>
    <t xml:space="preserve">B07JGCGNDG</t>
  </si>
  <si>
    <t xml:space="preserve">Crompton Amica 15-L 5 Star Rated Storage Water Heater (Geyser) with Free Installation (White)</t>
  </si>
  <si>
    <t xml:space="preserve">B08L12N5H1</t>
  </si>
  <si>
    <t xml:space="preserve">Eureka Forbes car Vac 100 Watts Powerful Suction Vacuum Cleaner with Washable HEPA Filter, 3 Accessories,Compact,Light Weight &amp; Easy to use (Black and Red)</t>
  </si>
  <si>
    <t xml:space="preserve">B07GWTWFS2</t>
  </si>
  <si>
    <t xml:space="preserve">KENT 16025 Sandwich Grill 700W | Non-Toxic Ceramic Coating | Automatic Temperature Cut-off with LED Indicator | Adjustable Height Control, Metallic Silver, Standard</t>
  </si>
  <si>
    <t xml:space="preserve">B09KRHXTLN</t>
  </si>
  <si>
    <t xml:space="preserve">Candes Gloster All in One Silent Blower Fan Room Heater Ideal for Small and Medium Area, 2000 Watts (White)</t>
  </si>
  <si>
    <t xml:space="preserve">B09H34V36W</t>
  </si>
  <si>
    <t xml:space="preserve">Inalsa Electric Fan Heater Hotty - 2000 Watts Variable Temperature Control Cool/Warm/Hot Air Selector | Over Heat Protection | ISI Certification, White</t>
  </si>
  <si>
    <t xml:space="preserve">B09J2QCKKM</t>
  </si>
  <si>
    <t xml:space="preserve">Havells Zella Flap Auto Immersion Rod 1500 Watts</t>
  </si>
  <si>
    <t xml:space="preserve">B09XRBJ94N</t>
  </si>
  <si>
    <t xml:space="preserve">iBELL SM1301 3-in-1 Sandwich Maker with Detachable Plates for Toast / Waffle / Grill , 750 Watt (Black)</t>
  </si>
  <si>
    <t xml:space="preserve">B07SLNG3LW</t>
  </si>
  <si>
    <t xml:space="preserve">Inalsa Vacuum Cleaner Wet and Dry Micro WD10 with 3in1 Multifunction Wet/Dry/Blowing| 14KPA Suction and Impact Resistant Polymer Tank,(Yellow/Black)</t>
  </si>
  <si>
    <t xml:space="preserve">B0BNDGL26T</t>
  </si>
  <si>
    <t xml:space="preserve">MR. BRAND Portable USB Juicer Electric USB Juice Maker Mixer Bottle Blender Grinder Mixer,6 Blades Rechargeable Bottle with (Multi color) (MULTI MIXER 6 BLED)</t>
  </si>
  <si>
    <t xml:space="preserve">B095PWLLY6</t>
  </si>
  <si>
    <t xml:space="preserve">Crompton Hill Briz Deco 1200mm (48 inch) High Speed Designer Ceiling Fan (Smoked Brown)</t>
  </si>
  <si>
    <t xml:space="preserve">B07Y9PY6Y1</t>
  </si>
  <si>
    <t xml:space="preserve">Sujata Powermatic Plus, Juicer Mixer Grinder with Chutney Jar, 900 Watts, 3 Jars (White)</t>
  </si>
  <si>
    <t xml:space="preserve">B0BJ966M5K</t>
  </si>
  <si>
    <t xml:space="preserve">Aquadpure Copper + Mineral RO+UV+UF 10 to 12 Liter RO + UV + TDS ADJUSTER Water Purifier with Copper Charge Technology black &amp; copper Best For Home and Office (Made In India)</t>
  </si>
  <si>
    <t xml:space="preserve">B086GVRP63</t>
  </si>
  <si>
    <t xml:space="preserve">Amazon Basics 650 Watt Drip Coffee Maker with Borosilicate Carafe</t>
  </si>
  <si>
    <t xml:space="preserve">B08MVXPTDG</t>
  </si>
  <si>
    <t xml:space="preserve">Crompton Insta Delight Fan Circulator Room Heater with 3 Heat Settings (Slate Grey &amp; Black, 2000 Watt)</t>
  </si>
  <si>
    <t xml:space="preserve">B0BMZ6SY89</t>
  </si>
  <si>
    <t xml:space="preserve">!!HANEUL!!1000 Watt/2000-Watt Room Heater!! Fan Heater!!Pure White!!HN-2500!!Made in India!!Thermoset!!</t>
  </si>
  <si>
    <t xml:space="preserve">B09P1MFKG1</t>
  </si>
  <si>
    <t xml:space="preserve">Melbon VM-905 2000-Watt Room Heater (ISI Certified, White Color) Ideal Electric Fan Heater for Small to Medium Room/Area (Plastic Body)</t>
  </si>
  <si>
    <t xml:space="preserve">B01LY9W8AF</t>
  </si>
  <si>
    <t xml:space="preserve">Cello Eliza Plastic Laundry Bag/Basket, 50 litres, Light Grey</t>
  </si>
  <si>
    <t xml:space="preserve">B07ZJND9B9</t>
  </si>
  <si>
    <t xml:space="preserve">ACTIVA 1200 MM HIGH SPEED 390 RPM BEE APPROVED 5 STAR RATED APSRA CEILING FAN BROWN 2 Years Warranty</t>
  </si>
  <si>
    <t xml:space="preserve">B0B2CWRDB1</t>
  </si>
  <si>
    <t xml:space="preserve">Shakti Technology S5 High Pressure Car Washer Machine 1900 Watts and Pressure 125 Bar with 10 Meter Hose Pipe</t>
  </si>
  <si>
    <t xml:space="preserve">B072NCN9M4</t>
  </si>
  <si>
    <t xml:space="preserve">AMERICAN MICRONIC- Imported Wet &amp; Dry Vacuum Cleaner, 21 Litre Stainless Steel with Blower &amp; HEPA filter, 1600 Watts 100% Copper Motor 28 KPa suction with washable reusable dust bag (Red/Black/Steel)-AMI-VCD21-1600WDx</t>
  </si>
  <si>
    <t xml:space="preserve">B08SKZ2RMG</t>
  </si>
  <si>
    <t xml:space="preserve">Demokrazy New Nova Lint Cum Fuzz Remover for All Woolens Sweaters, Blankets, Jackets Remover Pill Remover from Carpets, Curtains (Pack of 1)</t>
  </si>
  <si>
    <t xml:space="preserve">B0B53DS4TF</t>
  </si>
  <si>
    <t xml:space="preserve">Instant Pot Air Fryer, Vortex 2QT, Touch Control Panel, 360° EvenCrisp™ Technology, Uses 95 % less Oil, 4-in-1 Appliance: Air Fry, Roast, Bake, Reheat (Vortex 1.97Litre, Black)</t>
  </si>
  <si>
    <t xml:space="preserve">B08BJN4MP3</t>
  </si>
  <si>
    <t xml:space="preserve">HUL Pureit Eco Water Saver Mineral RO+UV+MF AS wall mounted/Counter top Black 10L Water Purifier</t>
  </si>
  <si>
    <t xml:space="preserve">B0BCYQY9X5</t>
  </si>
  <si>
    <t xml:space="preserve">Livpure Glo Star RO+UV+UF+Mineraliser - 7 L Storage Tank, 15 LPH Water Purifier for Home, Black</t>
  </si>
  <si>
    <t xml:space="preserve">B009UORDX4</t>
  </si>
  <si>
    <t xml:space="preserve">Philips Hi113 1000-Watt Plastic Body Ptfe Coating Dry Iron, Pack of 1</t>
  </si>
  <si>
    <t xml:space="preserve">B08VGDBF3B</t>
  </si>
  <si>
    <t xml:space="preserve">Kuber Industries Round Non Woven Fabric Foldable Laundry Basket|Toy Storage Basket|Cloth Storage Basket With Handles| Capicity 45 Ltr (Grey &amp; Black)-KUBMART11446</t>
  </si>
  <si>
    <t xml:space="preserve">B012ELCYUG</t>
  </si>
  <si>
    <t xml:space="preserve">Preethi MGA-502 0.4-Litre Grind and Store Jar (White), stainless steel, Set of 1</t>
  </si>
  <si>
    <t xml:space="preserve">B07S9M8YTY</t>
  </si>
  <si>
    <t xml:space="preserve">Usha Aurora 1000 W Dry Iron with Innovative Tail Light Indicator, Weilburger Soleplate (White &amp; Grey)</t>
  </si>
  <si>
    <t xml:space="preserve">B0B19VJXQZ</t>
  </si>
  <si>
    <t xml:space="preserve">ECOVACS DEEBOT N8 2-in-1 Robotic Vacuum Cleaner, 2022 New Launch, Most Powerful Suction, Covers 2000+ Sq. Ft in One Charge, Advanced dToF Technology with OZMO Mopping (DEEBOT N8) - White</t>
  </si>
  <si>
    <t xml:space="preserve">B00SMFPJG0</t>
  </si>
  <si>
    <t xml:space="preserve">Kent Gold, Optima, Gold+ Spare Kit</t>
  </si>
  <si>
    <t xml:space="preserve">B0BHYLCL19</t>
  </si>
  <si>
    <t xml:space="preserve">AVNISH Tap Water Purifier Filter Faucet 6 Layer Carbon Activated Dust Chlorine Remover Water Softener for Drinking Cartridge Alkaline Taps for Kitchen Sink Bathroom Wash Basin (6-Layer Filtration)</t>
  </si>
  <si>
    <t xml:space="preserve">B0BPJBTB3F</t>
  </si>
  <si>
    <t xml:space="preserve">Khaitan ORFin Fan heater for Home and kitchen-K0 2215</t>
  </si>
  <si>
    <t xml:space="preserve">B08MXJYB2V</t>
  </si>
  <si>
    <t xml:space="preserve">USHA RapidMix 500-Watt Copper Motor Mixer Grinder with 3 Jars and 5 Years Warranty(Sea Green/White)</t>
  </si>
  <si>
    <t xml:space="preserve">B081B1JL35</t>
  </si>
  <si>
    <t xml:space="preserve">CSI INTERNATIONAL® Instant Water Geyser, Water Heater, Portable Water Heater, Geyser Made of First Class ABS Plastic 3KW (Red)</t>
  </si>
  <si>
    <t xml:space="preserve">B09VL9KFDB</t>
  </si>
  <si>
    <t xml:space="preserve">Havells Gatik Neo 400mm Pedestal Fan (Aqua Blue)</t>
  </si>
  <si>
    <t xml:space="preserve">B0B1MDZV9C</t>
  </si>
  <si>
    <t xml:space="preserve">INALSA Upright Vacuum Cleaner, 2-in-1,Handheld &amp; Stick for Home &amp; Office Use,800W- with 16KPA Strong Suction &amp; HEPA Filtration|0.8L Dust Tank|Includes Multiple Accessories,(Grey/Black)</t>
  </si>
  <si>
    <t xml:space="preserve">B08TT63N58</t>
  </si>
  <si>
    <t xml:space="preserve">ROYAL STEP - AMAZON'S BRAND - Portable Electric USB Juice Maker Juicer Bottle Blender Grinder Mixer,4 Blades Rechargeable Bottle with (Multi color) (MULTI)</t>
  </si>
  <si>
    <t xml:space="preserve">B08YK7BBD2</t>
  </si>
  <si>
    <t xml:space="preserve">Nirdambhay Mini Bag Sealer, 2 in 1 Heat Sealer and Cutter Handheld Sealing Machine Portable Bag Resealer Sealer for Plastic Bags Food Storage Snack Fresh Bag Sealer (Including 2 AA Battery)</t>
  </si>
  <si>
    <t xml:space="preserve">B07YQ5SN4H</t>
  </si>
  <si>
    <t xml:space="preserve">Cello Non-Stick Aluminium Sandwich Gas Toaster(Black)</t>
  </si>
  <si>
    <t xml:space="preserve">B0B7FJNSZR</t>
  </si>
  <si>
    <t xml:space="preserve">Proven® Copper + Mineral RO+UV+UF 10 to 12 Liter RO + UV + TDS ADJUSTER Water Purifier with Copper Charge Technology black &amp; copper Best For Home and Office (Made In India)</t>
  </si>
  <si>
    <t xml:space="preserve">B01N6IJG0F</t>
  </si>
  <si>
    <t xml:space="preserve">Morphy Richards Daisy 1000W Dry Iron with American Heritage Non-Stick Coated Soleplate, White</t>
  </si>
  <si>
    <t xml:space="preserve">B0B84QN4CN</t>
  </si>
  <si>
    <t xml:space="preserve">Wipro Vesta 1200 Watt GD201 Lightweight Automatic Dry Iron| Quick Heat Up| Stylish &amp; Sleek |Anti bacterial German Weilburger Double Coated Soleplate |2 Years Warranty</t>
  </si>
  <si>
    <t xml:space="preserve">B0B8ZM9RVV</t>
  </si>
  <si>
    <t xml:space="preserve">Zuvexa Egg Boiler Poacher Automatic Off Steaming, Cooking, Boiling Double Layer 14 Egg Boiler (Multicolor)…</t>
  </si>
  <si>
    <t xml:space="preserve">B01892MIPA</t>
  </si>
  <si>
    <t xml:space="preserve">AO Smith HSE-VAS-X-015 Storage 15 Litre Vertical Water Heater (Geyser) White 4 Star</t>
  </si>
  <si>
    <t xml:space="preserve">B08ZHYNTM1</t>
  </si>
  <si>
    <t xml:space="preserve">Havells Festiva 1200mm Dust Resistant Ceiling Fan (Gold Mist)</t>
  </si>
  <si>
    <t xml:space="preserve">B09SDDQQKP</t>
  </si>
  <si>
    <t xml:space="preserve">INALSA Vaccum Cleaner Handheld 800W High Powerful Motor- Dura Clean with HEPA Filtration &amp; Strong Powerful 16KPA Suction| Lightweight, Compact &amp; Durable Body|Includes Multiple Accessories,(Grey/Black)</t>
  </si>
  <si>
    <t xml:space="preserve">B0B5RP43VN</t>
  </si>
  <si>
    <t xml:space="preserve">iBELL SM1515NEW Sandwich Maker with Floating Hinges, 1000Watt, Panini / Grill / Toast (Black)</t>
  </si>
  <si>
    <t xml:space="preserve">B096NTB9XT</t>
  </si>
  <si>
    <t xml:space="preserve">Aquaguard Aura RO+UV+UF+Taste Adjuster(MTDS) with Active Copper &amp; Zinc 7L water purifier,8 stages of purification,suitable for borewell,tanker,municipal water(Black) from Eureka Forbes</t>
  </si>
  <si>
    <t xml:space="preserve">B078JF6X9B</t>
  </si>
  <si>
    <t xml:space="preserve">Havells Instanio 3-Litre 4.5KW Instant Water Heater (Geyser), White Blue</t>
  </si>
  <si>
    <t xml:space="preserve">B08CGW4GYR</t>
  </si>
  <si>
    <r>
      <rPr>
        <sz val="10"/>
        <rFont val="Arial"/>
        <family val="0"/>
        <charset val="1"/>
      </rPr>
      <t xml:space="preserve">Milk Frother, Immersion Blender Cordlesss Foam Maker USB Rechargeable Small Mixer Handheld with 2 Stainless Whisks</t>
    </r>
    <r>
      <rPr>
        <sz val="10"/>
        <rFont val="Noto Sans CJK SC"/>
        <family val="2"/>
      </rPr>
      <t xml:space="preserve">，</t>
    </r>
    <r>
      <rPr>
        <sz val="10"/>
        <rFont val="Arial"/>
        <family val="0"/>
        <charset val="1"/>
      </rPr>
      <t xml:space="preserve">Wisker for Stirring 3-Speed Adjustable Mini Frother for Cappuccino Latte Coffee Egg</t>
    </r>
  </si>
  <si>
    <t xml:space="preserve">B00A328ENA</t>
  </si>
  <si>
    <t xml:space="preserve">Panasonic SR-WA22H (E) Automatic Rice Cooker, Apple Green, 2.2 Liters</t>
  </si>
  <si>
    <t xml:space="preserve">B0763K5HLQ</t>
  </si>
  <si>
    <t xml:space="preserve">InstaCuppa Milk Frother for Coffee - Handheld Battery-Operated Electric Milk and Coffee Frother, Stainless Steel Whisk and Stand, Portable Foam Maker for Coffee, Cappuccino, Lattes, and Egg Beaters</t>
  </si>
  <si>
    <t xml:space="preserve">B09PDZNSBG</t>
  </si>
  <si>
    <t xml:space="preserve">Goodscity Garment Steamer for Clothes, Steam Iron Press - Vertical &amp; Horizontal Steaming up to 22g/min, 1200 Watt, 230 ml Water tank &amp; 30 sec Fast Heating (GC 111)</t>
  </si>
  <si>
    <t xml:space="preserve">B085LPT5F4</t>
  </si>
  <si>
    <t xml:space="preserve">Solidaire 550-Watt Mixer Grinder with 3 Jars (Black) (SLD-550-B)</t>
  </si>
  <si>
    <t xml:space="preserve">B0B9RZ4G4W</t>
  </si>
  <si>
    <t xml:space="preserve">Amazon Basics 300 W Hand Blender with Stainless Steel Stem for Hot/Cold Blending and In-Built Cord Hook, ISI-Marked, Black</t>
  </si>
  <si>
    <t xml:space="preserve">B0085W2MUQ</t>
  </si>
  <si>
    <t xml:space="preserve">Orpat HHB-100E 250-Watt Hand Blender (White)</t>
  </si>
  <si>
    <t xml:space="preserve">B09474JWN6</t>
  </si>
  <si>
    <t xml:space="preserve">HealthSense Rechargeable Lint Remover for Clothes | Fuzz and Fur Remover | Electric Fabric Shaver, Trimmer for Clothes, Carpet, Sofa, Sweaters, Curtains | One-Year Warranty Included - New-Feel LR350</t>
  </si>
  <si>
    <t xml:space="preserve">B09G2VTHQM</t>
  </si>
  <si>
    <t xml:space="preserve">AGARO Classic Portable Yogurt Maker, 1.2L Capacity, Electric, Automatic, Grey and White, Medium (33603)</t>
  </si>
  <si>
    <t xml:space="preserve">B07R679HTT</t>
  </si>
  <si>
    <t xml:space="preserve">AGARO Imperial 240-Watt Slow Juicer with Cold Press Technology</t>
  </si>
  <si>
    <t xml:space="preserve">B00B7GKXMG</t>
  </si>
  <si>
    <t xml:space="preserve">Wipro Smartlife Super Deluxe Dry Iron- 1000W</t>
  </si>
  <si>
    <t xml:space="preserve">B07H3N8RJH</t>
  </si>
  <si>
    <t xml:space="preserve">AmazonBasics Cylinder Bagless Vacuum Cleaner with Power Suction, Low Sound, High Energy Efficiency and 2 Years Warranty (1.5L, Black)</t>
  </si>
  <si>
    <t xml:space="preserve">B07K2HVKLL</t>
  </si>
  <si>
    <t xml:space="preserve">Crompton IHL 251 1500-Watt Immersion Water Heater with Copper Heating Element and IP 68 Protection</t>
  </si>
  <si>
    <t xml:space="preserve">B09MQ9PDHR</t>
  </si>
  <si>
    <t xml:space="preserve">SaiEllin Room Heater For Home 2000 Watts Room Heater For Bedroom | ISI Approved With 1 Year Warranty | For 250 Sq. Feet Blower Heater &amp; Room Heaters Home For Winters</t>
  </si>
  <si>
    <t xml:space="preserve">B014HDJ7ZE</t>
  </si>
  <si>
    <t xml:space="preserve">Bajaj Majesty Duetto Gas 6 Ltr Vertical Water Heater ( LPG), White</t>
  </si>
  <si>
    <t xml:space="preserve">B07D2NMTTV</t>
  </si>
  <si>
    <t xml:space="preserve">Black + Decker BD BXIR2201IN 2200-Watt Cord &amp; Cordless Steam Iron (Green)</t>
  </si>
  <si>
    <t xml:space="preserve">B075K76YW1</t>
  </si>
  <si>
    <t xml:space="preserve">Inalsa Hand Blender| Hand Mixer|Beater - Easy Mix, Powerful 250 Watt Motor | Variable 7 Speed Control | 1 Year Warranty | (White/Red)</t>
  </si>
  <si>
    <t xml:space="preserve">B0BNLFQDG2</t>
  </si>
  <si>
    <t xml:space="preserve">Longway Blaze 2 Rod Quartz Room Heater (White, Gray, 800 watts)</t>
  </si>
  <si>
    <t xml:space="preserve">B082ZQ4479</t>
  </si>
  <si>
    <t xml:space="preserve">Prestige PWG 07 Wet Grinder, 2L (Multicolor) with Coconut Scraper and Atta Kneader Attachments, 200 Watt</t>
  </si>
  <si>
    <t xml:space="preserve">B09Y358DZQ</t>
  </si>
  <si>
    <t xml:space="preserve">Pigeon Zest Mixer Grinder 3 Speed Control 750 Watt Powerful Copper Motor with 3 Stainless Steel Jars for Dry Grinding, Wet Grinding and Making Chutney and 3 Polycarbonate lids - Blue</t>
  </si>
  <si>
    <t xml:space="preserve">B09M3F4HGB</t>
  </si>
  <si>
    <t xml:space="preserve">Borosil Volcano 13 Fin Oil Filled Radiator Room Heater, 2900 W, Black</t>
  </si>
  <si>
    <t xml:space="preserve">B07VZH6ZBB</t>
  </si>
  <si>
    <t xml:space="preserve">Crompton Solarium Qube 15-L 5 Star Rated Storage Water Heater (Geyser) with Free Installation and Connection Pipes (White and Black)</t>
  </si>
  <si>
    <t xml:space="preserve">B07F366Z51</t>
  </si>
  <si>
    <t xml:space="preserve">Singer Aroma 1.8 Liter Electric Kettle High Grade Stainless Steel with Cool and Touch Body and Cordless Base, 1500 watts, Auto Shut Off with Dry Boiling (Silver/Black)</t>
  </si>
  <si>
    <t xml:space="preserve">B077BTLQ67</t>
  </si>
  <si>
    <t xml:space="preserve">Orient Electric Aura Neo Instant 3L Water Heater (Geyser), 5-level Safety Shield, Stainless Steel Tank (White &amp; Turquoise)</t>
  </si>
  <si>
    <t xml:space="preserve">B07YSJ7FF1</t>
  </si>
  <si>
    <t xml:space="preserve">Crompton Brio 1000-Watts Dry Iron with Weilburger Coating (Sky Blue and White)</t>
  </si>
  <si>
    <t xml:space="preserve">B07TXCY3YK</t>
  </si>
  <si>
    <t xml:space="preserve">Butterfly Hero Mixer Grinder, 500W, 3 Jars (Grey)</t>
  </si>
  <si>
    <t xml:space="preserve">B07TC9F7PN</t>
  </si>
  <si>
    <t xml:space="preserve">Racold Eterno Pro 25L Vertical 5 Star Storage Water Heater (Geyser) with free Standard Installation and free Installation Pipes</t>
  </si>
  <si>
    <t xml:space="preserve">B09NS5TKPN</t>
  </si>
  <si>
    <t xml:space="preserve">LG 1.5 Ton 5 Star AI DUAL Inverter Split AC (Copper, Super Convertible 6-in-1 Cooling, HD Filter with Anti-Virus Protection, 2022 Model, PS-Q19YNZE, White)</t>
  </si>
  <si>
    <t xml:space="preserve">B00LP9RFSU</t>
  </si>
  <si>
    <t xml:space="preserve">Eureka Forbes Aquasure Amrit Twin Cartridge (Pack of 2), White</t>
  </si>
  <si>
    <t xml:space="preserve">B0B7L86YCB</t>
  </si>
  <si>
    <t xml:space="preserve">Green Tales Heat Seal Mini Food Sealer-Impulse Machine for Sealing Plastic Bags Packaging</t>
  </si>
  <si>
    <t xml:space="preserve">B09VPH38JS</t>
  </si>
  <si>
    <t xml:space="preserve">SaleOn Instant Coal Heater 500W Charcoal Burner Electric Stove Hot Plate - Mix Colors - Pack of 1 - Only Charcoal Heater</t>
  </si>
  <si>
    <t xml:space="preserve">B01MUAUOCX</t>
  </si>
  <si>
    <t xml:space="preserve">Sujata Chutney Steel Jar, 400 ml, (White), Stainless Steel</t>
  </si>
  <si>
    <t xml:space="preserve">B09MB3DKG1</t>
  </si>
  <si>
    <t xml:space="preserve">KHAITAN AVAANTE KA-2013 1200 Watt 3-Rod Halogen Heater (1200 Watts, Grey)</t>
  </si>
  <si>
    <t xml:space="preserve">B08QHLXWV3</t>
  </si>
  <si>
    <t xml:space="preserve">Kenstar 2400 Watts 9 Fins Oil Filled Radiator with PTC Fan Heater (BLACK GOLD)</t>
  </si>
  <si>
    <t xml:space="preserve">B07G147SZD</t>
  </si>
  <si>
    <t xml:space="preserve">NEXOMS Instant Heating Water Tap Wall Mounted with 3 Pin Indian Plug (16Amp)</t>
  </si>
  <si>
    <t xml:space="preserve">B09LH32678</t>
  </si>
  <si>
    <t xml:space="preserve">JIALTO Mini Waffle Maker 4 Inch- 350 Watts: Stainless Steel Non-Stick Electric Iron Machine for Individual Belgian Waffles, Pan Cakes, Paninis or Other Snacks - Aqua blue</t>
  </si>
  <si>
    <t xml:space="preserve">B09R1YFL6S</t>
  </si>
  <si>
    <t xml:space="preserve">Candes BlowHot All in One Silent Blower Fan Room Heater (ABS Body, White, Brown) 2000 Watts</t>
  </si>
  <si>
    <t xml:space="preserve">B07Q4NJQC5</t>
  </si>
  <si>
    <t xml:space="preserve">Ionix Jewellery Scale | Weight Scale | Digital Weight Machine | weight machine for gold | Electronic weighing machines for Jewellery 0.01G to 200G Small Weight Machine for Shop - Silver</t>
  </si>
  <si>
    <t xml:space="preserve">B097RN7BBK</t>
  </si>
  <si>
    <t xml:space="preserve">Kitchen Kit Electric Kettle, 1.8L Stainless Steel Tea Kettle, Fast Boil Water Warmer with Auto Shut Off and Boil Dry Protection Tech</t>
  </si>
  <si>
    <t xml:space="preserve">B097MKZHNV</t>
  </si>
  <si>
    <t xml:space="preserve">Racold Pronto Pro 3Litres 3KW Vertical Instant Water Heater (Geyser)</t>
  </si>
  <si>
    <t xml:space="preserve">B07LG96SDB</t>
  </si>
  <si>
    <t xml:space="preserve">ESN 999 Supreme Quality 1500W Immersion Water Heater Rod (Black)</t>
  </si>
  <si>
    <t xml:space="preserve">B08KS2KQTK</t>
  </si>
  <si>
    <t xml:space="preserve">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</si>
  <si>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 xml:space="preserve">B095K14P86</t>
  </si>
  <si>
    <t xml:space="preserve">Saiyam Stainless Steel Espresso Maker Stovetop Coffee Percolator Italian Coffee Maker Moka Pot (4 Cup - 200 ml, Silver)</t>
  </si>
  <si>
    <t xml:space="preserve">B08K36NZSV</t>
  </si>
  <si>
    <t xml:space="preserve">KONVIO NEER 10 Inch Spun Filter (PP SPUN) Cartridge Compatible for 10 Inch Pre-Filter Housing of Water Purifier | Pack of 4 Spun</t>
  </si>
  <si>
    <t xml:space="preserve">B07LDPLSZC</t>
  </si>
  <si>
    <t xml:space="preserve">Havells Glydo 1000 watt Dry Iron With American Heritage Non Stick Sole Plate, Aerodynamic Design, Easy Grip Temperature Knob &amp; 2 years Warranty. (Charcoal Blue)</t>
  </si>
  <si>
    <t xml:space="preserve">B07F1T31ZZ</t>
  </si>
  <si>
    <t xml:space="preserve">Raffles Premium Stainless Steel South Indian Coffee Filter/Drip Coffee Maker, 2-3 Cups, 150 ml</t>
  </si>
  <si>
    <t xml:space="preserve">B0BNDRK886</t>
  </si>
  <si>
    <t xml:space="preserve">IONIX Activated Carbon Faucet Water Filters Universal Interface Home Kitchen Faucet Tap Water | Tap filter Multilayer | Clean Purifier Filter Cartridge Five Layer Water Filter-Pack of 1</t>
  </si>
  <si>
    <t xml:space="preserve">B09ZVJXN5L</t>
  </si>
  <si>
    <t xml:space="preserve">KNYUC MART Mini Electric Handy Room Heater Compact Plug-in, The Wall Outlet 400 Watts, Handy Air Warmer Blower Adjustable Timer Digital Display</t>
  </si>
  <si>
    <t xml:space="preserve">B08JKPVDKL</t>
  </si>
  <si>
    <t xml:space="preserve">INKULTURE Stainless_Steel Measuring Cups &amp; Spoon Combo for Dry or Liquid/Kitchen Gadgets for Cooking &amp; Baking Cakes/Measuring Cup Set Combo with Handles (Set of 4 Cups &amp; 4 Spoons)</t>
  </si>
  <si>
    <t xml:space="preserve">B09JFR8H3Q</t>
  </si>
  <si>
    <t xml:space="preserve">Macmillan Aquafresh 5 Micron PS-05 10" in PP Spun Filter Candle Set for All Type RO Water Purifier 10 inch (4)</t>
  </si>
  <si>
    <t xml:space="preserve">B07LDN9Q2P</t>
  </si>
  <si>
    <t xml:space="preserve">Havells D'zire 1000 watt Dry Iron With American Heritage Sole Plate, Aerodynamic Design, Easy Grip Temperature Knob &amp; 2 years Warranty. (Mint)</t>
  </si>
  <si>
    <t xml:space="preserve">B08T8KWNQ9</t>
  </si>
  <si>
    <t xml:space="preserve">TE™ Instant Electric Heating Hot and Cold Water Geyser Tap Water with Digital Display (White)</t>
  </si>
  <si>
    <t xml:space="preserve">B07Y1RCCW5</t>
  </si>
  <si>
    <t xml:space="preserve">ZIGMA WinoteK WinoteK Sun Instant Water Geyser, Water Heater, Portable Water Heater, Geysers Made of First Class ABS Plastic, automatic Reset Model, AE10-3 W (Yellow)</t>
  </si>
  <si>
    <t xml:space="preserve">B0762HXMTF</t>
  </si>
  <si>
    <t xml:space="preserve">KENT 11054 Alkaline Water Filter Pitcher 3.5 L | Chemical-Free Water with Balanced pH Levels 8.0 to 9.5 | Solves Acidity Issue | Equipped with Carbon and Sediment Filter - Grey</t>
  </si>
  <si>
    <t xml:space="preserve">B00K57MR22</t>
  </si>
  <si>
    <t xml:space="preserve">Sujata Dynamix DX Mixer Grinder, 900W, 3 Jars (White)</t>
  </si>
  <si>
    <t xml:space="preserve">B07TTSS5MP</t>
  </si>
  <si>
    <t xml:space="preserve">Lifelong LLMG74 750 Watt Mixer Grinder with 3 Jars (White and Grey)</t>
  </si>
  <si>
    <t xml:space="preserve">B09ZDVL7L8</t>
  </si>
  <si>
    <t xml:space="preserve">TTK Prestige Limited Orion Mixer Grinder 500 Watts, 3 Jars (1200ml, 1000ml, 500ml) (Red)</t>
  </si>
  <si>
    <t xml:space="preserve">B09XHXXCFH</t>
  </si>
  <si>
    <t xml:space="preserve">AGARO Regal Electric Rice Cooker, 3L Ceramic Inner Bowl, Cooks Up to 600 Gms Raw Rice, SS Steamer, Preset Cooking Functions, Preset Timer, Keep Warm Function, LED Display, Black</t>
  </si>
  <si>
    <t xml:space="preserve">B0BL3R4RGS</t>
  </si>
  <si>
    <t xml:space="preserve">VAPJA® Portable Mini Juicer Cup Blender USB Rechargeable with 4 Blades for Shakes and Smoothies Fruits Vegetables Juice Maker Grinder Mixer Strong Cutting Bottle Sports Travel Outdoors Gym (BOTTLE)</t>
  </si>
  <si>
    <t xml:space="preserve">B07P1BR7L8</t>
  </si>
  <si>
    <t xml:space="preserve">Philips HD6975/00 25 Litre Digital Oven Toaster Grill, Grey, 25 liter</t>
  </si>
  <si>
    <t xml:space="preserve">B078WB1VWJ</t>
  </si>
  <si>
    <t xml:space="preserve">Usha EI 3710 Heavy Weight 1000-Watt Dry Iron with Golden American Heritage Soleplate, 1.75 Kg(White)</t>
  </si>
  <si>
    <t xml:space="preserve">B0BP89YBC1</t>
  </si>
  <si>
    <t xml:space="preserve">Campfire Spring Chef Prolix Instant Portable Water Heater Geyser 1Ltr. for Use Home Stainless Steel Baking Rack | Restaurant | Office | Labs | Clinics | Saloon | with Installation Kit (With MCB)</t>
  </si>
  <si>
    <t xml:space="preserve">B09W9V2PXG</t>
  </si>
  <si>
    <t xml:space="preserve">Themisto TH-WS20 Digital Kitchen Weighing Scale Stainless Steel (5Kg)</t>
  </si>
  <si>
    <t xml:space="preserve">B09XTQFFCG</t>
  </si>
  <si>
    <t xml:space="preserve">FYA Handheld Vacuum Cleaner Cordless, Wireless Hand Vacuum&amp;Air Blower 2-in-1, Mini Portable Car Vacuum Cleaner with Powerful Suction, USB Rechargeable Vacuum for Pet Hair, Home and Car</t>
  </si>
  <si>
    <t xml:space="preserve">B08LVVTGZK</t>
  </si>
  <si>
    <t xml:space="preserve">Lifelong LLSM120G Sandwich Griller , Classic Pro 750 W Sandwich Maker with 4 Slice Non-Stick Fixed Plates for Sandwiches at Home with 1 Year Warranty (Black)</t>
  </si>
  <si>
    <t xml:space="preserve">B07J2BQZD6</t>
  </si>
  <si>
    <t xml:space="preserve">Kuber Industries Nylon Mesh Laundry Basket|Sturdy Material &amp; Durable Handles|Netted Lightweight Laundry Bag, Size 36 x 36 x 58, Capicity 30 Ltr (Pink)</t>
  </si>
  <si>
    <t xml:space="preserve">B07HK53XM4</t>
  </si>
  <si>
    <t xml:space="preserve">Bulfyss Plastic Sticky Lint Roller Hair Remover Cleaner Set of 5 Rolls 150 Sheets, 30 Sheets Each roll Lint Roller Remover for Clothes, Furniture, Carpet, Dog Fur, Sweater, Dust &amp; Dirt</t>
  </si>
  <si>
    <t xml:space="preserve">B08RDWBYCQ</t>
  </si>
  <si>
    <t xml:space="preserve">T TOPLINE 180 W Electric Hand Mixer,Hand Blender , Egg Beater, Cake maker , Beater Cream Mix, Food Blender, Beater for Whipping Cream Beater for Cake With 7 -Speed with spatula and oil brush</t>
  </si>
  <si>
    <t xml:space="preserve">B09FHHTL8L</t>
  </si>
  <si>
    <t xml:space="preserve">Empty Mist Trigger Plastic Spray Bottle for Multi use 200ml Pack of 2</t>
  </si>
  <si>
    <t xml:space="preserve">B0BHNHMR3H</t>
  </si>
  <si>
    <t xml:space="preserve">LONAXA Mini Travel Rechargeable Fruit Juicer - USB Electric Fruit &amp; Vegetable Juice Blender/Grinder for Home and Office Use (Multicolor)…</t>
  </si>
  <si>
    <t xml:space="preserve">B07D8VBYB4</t>
  </si>
  <si>
    <t xml:space="preserve">SUJATA Powermatic Plus, Juicer Mixer Grinder, 900 Watts, 2 Jars (White)</t>
  </si>
  <si>
    <t xml:space="preserve">B0B3TBY2YX</t>
  </si>
  <si>
    <t xml:space="preserve">AGARO Royal Double Layered Kettle, 1.5 Litres, Double Layered Cool Touch , Dry Boiling Protection, Black</t>
  </si>
  <si>
    <t xml:space="preserve">B088WCFPQF</t>
  </si>
  <si>
    <t xml:space="preserve">Cafe JEI French Press Coffee and Tea Maker 600ml with 4 Level Filtration System, Heat Resistant Borosilicate Glass (Black, 600ml)</t>
  </si>
  <si>
    <t xml:space="preserve">B07JZSG42Y</t>
  </si>
  <si>
    <t xml:space="preserve">Borosil Prime Grill Sandwich Maker (Grey)</t>
  </si>
  <si>
    <t xml:space="preserve">B08YRMBK9R</t>
  </si>
  <si>
    <t xml:space="preserve">Candes 10 Litre Perfecto 5 Star Rated Automatic Instant Storage Electric Water Heater with Special Metal Body Anti Rust Coating With Installation Kit, 2KW Geyser (Ivory)</t>
  </si>
  <si>
    <t xml:space="preserve">B00935MGHS</t>
  </si>
  <si>
    <t xml:space="preserve">Prestige PSMFB 800 Watt Sandwich Toaster with Fixed Plates, Black</t>
  </si>
  <si>
    <t xml:space="preserve">B07B5XJ572</t>
  </si>
  <si>
    <t xml:space="preserve">iBELL MPK120L Premium Stainless Steel Multi Purpose Kettle/Cooker with Inner Pot 1.2 Litre (Silver)</t>
  </si>
  <si>
    <t xml:space="preserve">B086199CWG</t>
  </si>
  <si>
    <t xml:space="preserve">Maharaja Whiteline Odacio Plus 550-Watt Juicer Mixer Grinder with 3 Jars (Black/Silver)</t>
  </si>
  <si>
    <t xml:space="preserve">B0BBWJFK5C</t>
  </si>
  <si>
    <t xml:space="preserve">Shakti Technology S3 High Pressure Car Washer Machine 1800 Watts and Pressure 120 Bar for Cleaning Car, Bike &amp; Home</t>
  </si>
  <si>
    <t xml:space="preserve">B07GLS2563</t>
  </si>
  <si>
    <t xml:space="preserve">Cello Quick Boil Popular Electric Kettle 1 Litre 1200 Watts | Stainless Steel body | Boiler for Water, Silver</t>
  </si>
  <si>
    <t xml:space="preserve">B09P182Z2H</t>
  </si>
  <si>
    <t xml:space="preserve">AGARO Glory Cool Mist Ultrasonic Humidifier, 4.5Litres, For Large Area, Room, Home, Office, Adjustable Mist Output, Ceramic Ball Filter, Ultra Quiet, 360° Rotatable Nozzle, Auto Shut Off, Grey</t>
  </si>
  <si>
    <t xml:space="preserve">B0B59K1C8F</t>
  </si>
  <si>
    <t xml:space="preserve">Wolpin 1 Lint Roller with 60 Sheets Remove Clothes Lint Dog Hair Dust (19 x 13 cm) Orange</t>
  </si>
  <si>
    <t xml:space="preserve">B06Y36JKC3</t>
  </si>
  <si>
    <t xml:space="preserve">Abode Kitchen Essential Measuring Cup &amp; Spoon for Spices | for Cooking and Baking Cake | Multipurpose Tablespoon Cups with Ring Holder | (Black)</t>
  </si>
  <si>
    <t xml:space="preserve">B075S9FVRY</t>
  </si>
  <si>
    <t xml:space="preserve">Sujata Supermix, Mixer Grinder, 900 Watts, 3 Jars (White)</t>
  </si>
  <si>
    <t xml:space="preserve">B08SJVD8QD</t>
  </si>
  <si>
    <t xml:space="preserve">CARDEX Digital Kitchen Weighing Machine Multipurpose Electronic Weight Scale With Back Lite LCD Display for Measuring Food, Cake, Vegetable, Fruit (KITCHEN SCALE)</t>
  </si>
  <si>
    <t xml:space="preserve">B07FJNNZCJ</t>
  </si>
  <si>
    <t xml:space="preserve">V-Guard Zenora RO+UF+MB Water Purifier | Suitable for water with TDS up to 2000 ppm | 8 Stage Purification with World-class RO Membrane and Advanced UF Membrane | Free PAN India Installation &amp; 1-Year Comprehensive Warranty | 7 Litre, Black</t>
  </si>
  <si>
    <t xml:space="preserve">B09MFR93KS</t>
  </si>
  <si>
    <t xml:space="preserve">Bajaj Rex DLX 750 W 4 Jars Mixer Grinder, White and Blue</t>
  </si>
  <si>
    <t xml:space="preserve">B07Y5FDPKV</t>
  </si>
  <si>
    <t xml:space="preserve">KENT 16051 Hand Blender 300 W | 5 Variable Speed Control | Multiple Beaters &amp; Dough Hooks | Turbo Function</t>
  </si>
  <si>
    <t xml:space="preserve">B0756KCV5K</t>
  </si>
  <si>
    <t xml:space="preserve">Prestige PIC 15.0+ 1900-Watt Induction Cooktop (Black)</t>
  </si>
  <si>
    <t xml:space="preserve">B0BJ6P3LSK</t>
  </si>
  <si>
    <t xml:space="preserve">Aqua d pure Active Copper 12-L RO+UV Water Filter Purifier for Home, Kitchen Fully Automatic UF+TDS Controller</t>
  </si>
  <si>
    <t xml:space="preserve">B09HS1NDRQ</t>
  </si>
  <si>
    <t xml:space="preserve">PrettyKrafts Laundry Square Shape Basket Bag/Foldable/Multipurpose/Carry Handles/Slanting Lid for Home, Cloth Storage,(Single) Jute Grey</t>
  </si>
  <si>
    <t xml:space="preserve">B018SJJ0GE</t>
  </si>
  <si>
    <t xml:space="preserve">Libra Roti Maker Electric Automatic | chapati Maker Electric Automatic | roti Maker Machine with 900 Watts for Making Roti/Chapati/Parathas - Stainless Steel</t>
  </si>
  <si>
    <t xml:space="preserve">B09FPP3R1D</t>
  </si>
  <si>
    <t xml:space="preserve">Glen 3 in 1 Electric Multi Cooker - Steam, Cook &amp; Egg Boiler with 350 W (SA 3035MC) - 350 Watts</t>
  </si>
  <si>
    <t xml:space="preserve">B01F7B2JCI</t>
  </si>
  <si>
    <t xml:space="preserve">Dynore Stainless Steel Set of 4 Measuring Cup and 4 Measuring Spoon</t>
  </si>
  <si>
    <t xml:space="preserve">B09NNZ1GF7</t>
  </si>
  <si>
    <t xml:space="preserve">Lint Remover For Clothes With 1 Year Warranty Fabric Shaver Lint Shaver for Woolen Clothes Blanket Jackets Stainless Steel Blades,Bedding, Clothes and Furniture Best Remover for Fabrics Portable Lint Shavers (White Orange)</t>
  </si>
  <si>
    <t xml:space="preserve">B01CS4A5V4</t>
  </si>
  <si>
    <t xml:space="preserve">Monitor AC Stand/Heavy Duty Air Conditioner Outdoor Unit Mounting Bracket</t>
  </si>
  <si>
    <t xml:space="preserve">B0BL11S5QK</t>
  </si>
  <si>
    <t xml:space="preserve">iBELL Induction Cooktop, 2000W with Auto Shut Off and Overheat Protection, BIS Certified, Black</t>
  </si>
  <si>
    <t xml:space="preserve">B09BL2KHQW</t>
  </si>
  <si>
    <t xml:space="preserve">KENT POWP-Sediment Filter 10'' Thread WCAP</t>
  </si>
  <si>
    <t xml:space="preserve">B081RLM75M</t>
  </si>
  <si>
    <t xml:space="preserve">LACOPINE Mini Pocket Size Lint Roller (White)</t>
  </si>
  <si>
    <t xml:space="preserve">B07SYYVP69</t>
  </si>
  <si>
    <t xml:space="preserve">iBELL SEK170BM Premium Electric Kettle, 1.7 Litre, Stainless Steel with Coating,1500W Auto Cut-Off, Silver with Black</t>
  </si>
  <si>
    <t xml:space="preserve">B0BDZWMGZ1</t>
  </si>
  <si>
    <t xml:space="preserve">Activa Easy Mix Nutri Mixer Grinder 500 Watt | Long Lasting Shock Proof ABS Body | Heavy Duty Motor With Nano - Grinding Technology</t>
  </si>
  <si>
    <t xml:space="preserve">B078JT7LTD</t>
  </si>
  <si>
    <t xml:space="preserve">Sujata Dynamix, Mixer Grinder, 900 Watts, 3 Jars (White)</t>
  </si>
  <si>
    <t xml:space="preserve">B09WF4Q7B3</t>
  </si>
  <si>
    <t xml:space="preserve">Wipro Vesta 1380W Cordless Steam Iron Quick heat up with 20gm/ min Steam Burst, Scratch resistant Ceramic soleplate ,Vertical and Horizontal Ironing, Steam burst of upto .8g/ shot</t>
  </si>
  <si>
    <t xml:space="preserve">B092R48XXB</t>
  </si>
  <si>
    <t xml:space="preserve">Mi Robot Vacuum-Mop P, Best-in-class Laser Navigation in 10-20K INR price band, Intelligent mapping, Robotic Floor Cleaner with 2 in 1 Mopping and Vacuum, App Control (WiFi, Alexa,GA), Strong suction</t>
  </si>
  <si>
    <t xml:space="preserve">B00KIDSU8S</t>
  </si>
  <si>
    <t xml:space="preserve">Havells Ventil Air DX 200mm Exhaust Fan (White)</t>
  </si>
  <si>
    <t xml:space="preserve">B0977CGNJJ</t>
  </si>
  <si>
    <t xml:space="preserve">AGARO Royal Stand 1000W Mixer with 5L SS Bowl and 8 Speed Setting, Includes Whisking Cone, Mixing Beater &amp; Dough Hook, and Splash Guard, 2 Years Warranty, (Black), Medium (33554)</t>
  </si>
  <si>
    <t xml:space="preserve">B08WWKM5HQ</t>
  </si>
  <si>
    <t xml:space="preserve">Crompton Highspeed Markle Prime 1200 mm (48 inch) Anti-Dust Ceiling Fan with Energy Efficient 55W Motor (Burgundy)</t>
  </si>
  <si>
    <t xml:space="preserve">B015GX9Y0W</t>
  </si>
  <si>
    <t xml:space="preserve">Lifelong LLWM105 750-Watt Belgian Waffle Maker for Home| Makes 2 Square Shape Waffles| Non-stick Plates| Easy to Use with Indicator Lights (1 Year Warranty, Black)</t>
  </si>
  <si>
    <t xml:space="preserve">B089BDBDGM</t>
  </si>
  <si>
    <t xml:space="preserve">Kuber Industries Waterproof Round Laundry Bag/Hamper|Polka Dots Print Print with Handles|Foldable Bin &amp; 45 Liter Capicity|Size 37 x 37 x 49, Pack of 1(Black &amp; White)- CTKTC044992</t>
  </si>
  <si>
    <t xml:space="preserve">B0BPBG712X</t>
  </si>
  <si>
    <t xml:space="preserve">Portable, Handy Compact Plug-in Portable Digital Electric Heater Fan Wall-Outlet Handy Air Warmer Blower Adjustable Timer Digital Display Heater for Home/Office/Camper (Black, 400 Watts)</t>
  </si>
  <si>
    <t xml:space="preserve">B00JBNZPFM</t>
  </si>
  <si>
    <t xml:space="preserve">Karcher WD3 EU Wet and Dry Vacuum Cleaner, 1000 Watts Powerful Suction, 17 L Capacity, Blower Function, Easy Filter Removal for Home and Garden Cleaning  (Yellow/Black)</t>
  </si>
  <si>
    <t xml:space="preserve">B08N6P8G5K</t>
  </si>
  <si>
    <t xml:space="preserve">INALSA Air Fryer Digital 4L Nutri Fry - 1400W with Smart AirCrisp Technology| 8-Preset Menu, Touch Control &amp; Digital Display|Variable Temperature &amp; Timer Control|Free Recipe book|2 Yr Warranty (Black)</t>
  </si>
  <si>
    <t xml:space="preserve">B07NPBG1B4</t>
  </si>
  <si>
    <t xml:space="preserve">AmazonBasics High Speed 55 Watt Oscillating Pedestal Fan, 400mm Sweep Length, White (Without Remote)</t>
  </si>
  <si>
    <t xml:space="preserve">B01MRARGBW</t>
  </si>
  <si>
    <t xml:space="preserve">Eco Crystal J 5 inch Cartridge (Pack of 2)</t>
  </si>
  <si>
    <t xml:space="preserve">B07VZYMQNZ</t>
  </si>
  <si>
    <t xml:space="preserve">Borosil Rio 1.5 L Electric Kettle, Stainless Steel Inner Body, Boil Water For Tea, Coffee, Soup, Silver</t>
  </si>
  <si>
    <t xml:space="preserve">B01L7C4IU2</t>
  </si>
  <si>
    <t xml:space="preserve">Havells Ambrose 1200mm Ceiling Fan (Pearl White Wood)</t>
  </si>
  <si>
    <t xml:space="preserve">B09H7JDJCW</t>
  </si>
  <si>
    <t xml:space="preserve">PHILIPS Drip Coffee Maker HD7432/20, 0.6 L, Ideal for 2-7 cups, Black, Medium</t>
  </si>
  <si>
    <t xml:space="preserve">B07F6GXNPB</t>
  </si>
  <si>
    <t xml:space="preserve">Eureka Forbes Euroclean Paper Vacuum Cleaner Dust Bags for Excel, Ace, 300, Jet Models - Set of 10</t>
  </si>
  <si>
    <t xml:space="preserve">B0B97D658R</t>
  </si>
  <si>
    <t xml:space="preserve">Larrito wooden Cool Mist Humidifiers Essential Oil Diffuser Aroma Air Humidifier with Colorful Change for Car, Office, Babies, humidifiers for home, air humidifier for room (WOODEN HUMIDIFIRE-A)</t>
  </si>
  <si>
    <t xml:space="preserve">B09NFSHCWN</t>
  </si>
  <si>
    <t xml:space="preserve">Hilton Quartz Heater 400/800-Watt ISI 2 Rods Multi Mode Heater Long Lasting Quick Heating Extremely Warm (Grey)</t>
  </si>
  <si>
    <t xml:space="preserve">B076VQS87V</t>
  </si>
  <si>
    <t xml:space="preserve">Syska SDI-07 1000 W Stellar with Golden American Heritage Soleplate Dry Iron (Blue)</t>
  </si>
  <si>
    <t xml:space="preserve">B09LMMFW3S</t>
  </si>
  <si>
    <t xml:space="preserve">IKEA Milk Frother for Your Milk, Coffee,(Cold and hot Drinks), Black</t>
  </si>
  <si>
    <t xml:space="preserve">B0BBLHTRM9</t>
  </si>
  <si>
    <t xml:space="preserve">IONIX Tap filter Multilayer | Activated Carbon Faucet Water Filters Universal Interface Home Kitchen Faucet Tap Water Clean Purifier Filter Cartridge Five Layer Water Filter-Pack of 1</t>
  </si>
  <si>
    <t xml:space="preserve">B0BJYSCWFQ</t>
  </si>
  <si>
    <t xml:space="preserve">Kitchengenix's Mini Waffle Maker 4 Inch- 350 Watts: Stainless Steel Non-Stick Electric Iron Machine for Individual Belgian Waffles, Pan Cakes, Paninis or Other Snacks (Red)</t>
  </si>
  <si>
    <t xml:space="preserve">B0187F2IOK</t>
  </si>
  <si>
    <t xml:space="preserve">Bajaj HM-01 Powerful 250W Hand Mixer, Black</t>
  </si>
  <si>
    <t xml:space="preserve">B0B8CB7MHW</t>
  </si>
  <si>
    <t xml:space="preserve">KNOWZA Electric Handheld Milk Wand Mixer Frother for Latte Coffee Hot Milk, Milk Frother for Coffee, Egg Beater, Hand Blender, Coffee Beater (BLACK COFFEE BEATER)</t>
  </si>
  <si>
    <t xml:space="preserve">B07K19NYZ8</t>
  </si>
  <si>
    <t xml:space="preserve">Usha Hc 812 T Thermo Fan Room Heater</t>
  </si>
  <si>
    <t xml:space="preserve">B08ZXZ362Z</t>
  </si>
  <si>
    <t xml:space="preserve">akiara - Makes life easy Mini Sewing Machine for Home Tailoring use | Mini Silai Machine with Sewing Kit Set Sewing Box with Thread Scissors, Needle All in One Sewing Accessories (White &amp; Purple)</t>
  </si>
  <si>
    <t xml:space="preserve">B00GHL8VP2</t>
  </si>
  <si>
    <t xml:space="preserve">USHA 1212 PTC with Adjustable Thermostat Fan Heater (Black/Brown, 1500-Watts).</t>
  </si>
  <si>
    <t xml:space="preserve">B0B9JZW1SQ</t>
  </si>
  <si>
    <t xml:space="preserve">4 in 1 Handheld Electric Vegetable Cutter Set,Wireless Food Processor Electric Food Chopper for Garlic Chili Pepper Onion Ginger Celery Meat with Brush</t>
  </si>
  <si>
    <t xml:space="preserve">B00TI8E7BI</t>
  </si>
  <si>
    <t xml:space="preserve">Philips HD9306/06 1.5-Litre Electric Kettle (Multicolor)</t>
  </si>
  <si>
    <t xml:space="preserve">B07J9KXQCC</t>
  </si>
  <si>
    <t xml:space="preserve">Libra Room Heater for Home, Room Heaters Home for Winter, Electric Heater with 2000 Watts Power as per IS Specification for Small to Medium Rooms - FH12 (Grey)</t>
  </si>
  <si>
    <t xml:space="preserve">B0B3JSWG81</t>
  </si>
  <si>
    <t xml:space="preserve">NGI Store 2 Pieces Pet Hair Removers for Your Laundry Catcher Lint Remover for Washing Machine Lint Remover Reusable Portable Silica Gel Clothes Washer Dryer Floating Ball</t>
  </si>
  <si>
    <t xml:space="preserve">B08L7J3T31</t>
  </si>
  <si>
    <t xml:space="preserve">Noir Aqua - 5pcs PP Spun Filter + 1 Spanner | for All Types of RO Water purifiers (5 Piece, White, 10 Inch, 5 Micron) - RO Spun Filter Cartridge Sponge Replacement Water Filter Candle</t>
  </si>
  <si>
    <t xml:space="preserve">B01M6453MB</t>
  </si>
  <si>
    <t xml:space="preserve">Prestige Delight PRWO Electric Rice Cooker (1 L, White)</t>
  </si>
  <si>
    <t xml:space="preserve">B009P2LIL4</t>
  </si>
  <si>
    <t xml:space="preserve">Bajaj Majesty RX10 2000 Watts Heat Convector Room Heater (White, ISI Approved)</t>
  </si>
  <si>
    <t xml:space="preserve">B00J5DYCCA</t>
  </si>
  <si>
    <t xml:space="preserve">Havells Ventil Air DSP 230mm Exhaust Fan (Pista Green)</t>
  </si>
  <si>
    <t xml:space="preserve">B01486F4G6</t>
  </si>
  <si>
    <t xml:space="preserve">Borosil Jumbo 1000-Watt Grill Sandwich Maker (Black)</t>
  </si>
  <si>
    <t xml:space="preserve">1. Products by Main Category</t>
  </si>
  <si>
    <t xml:space="preserve">Products</t>
  </si>
  <si>
    <t xml:space="preserve">Avg Discount %</t>
  </si>
  <si>
    <t xml:space="preserve">2. Top 10 Sub-Categories (by product count)</t>
  </si>
  <si>
    <t xml:space="preserve">3. Discount Band Analysis</t>
  </si>
  <si>
    <t xml:space="preserve">Avg Discounted Price (₹)</t>
  </si>
  <si>
    <t xml:space="preserve">0-19%</t>
  </si>
  <si>
    <t xml:space="preserve">20-39%</t>
  </si>
  <si>
    <t xml:space="preserve">40-59%</t>
  </si>
  <si>
    <t xml:space="preserve">60-79%</t>
  </si>
  <si>
    <t xml:space="preserve">80%+</t>
  </si>
  <si>
    <t xml:space="preserve">4. Rating Distribution</t>
  </si>
  <si>
    <t xml:space="preserve">% of Products</t>
  </si>
  <si>
    <t xml:space="preserve">Below 3.5</t>
  </si>
  <si>
    <t xml:space="preserve">3.5-3.9</t>
  </si>
  <si>
    <t xml:space="preserve">4.0-4.4</t>
  </si>
  <si>
    <t xml:space="preserve">4.5+</t>
  </si>
  <si>
    <t xml:space="preserve">5. Top 10 Most-Reviewed Products (one per unique review count; colour/size variants share counts)</t>
  </si>
  <si>
    <t xml:space="preserve">Product (short)</t>
  </si>
  <si>
    <t xml:space="preserve">Reviews</t>
  </si>
  <si>
    <t xml:space="preserve">Step</t>
  </si>
  <si>
    <t xml:space="preserve">What was done</t>
  </si>
  <si>
    <t xml:space="preserve">Rows affected</t>
  </si>
  <si>
    <t xml:space="preserve">1</t>
  </si>
  <si>
    <t xml:space="preserve">Loaded raw CSV (amazon.csv)</t>
  </si>
  <si>
    <t xml:space="preserve">2</t>
  </si>
  <si>
    <t xml:space="preserve">Removed duplicate Product IDs (kept first)</t>
  </si>
  <si>
    <t xml:space="preserve">3</t>
  </si>
  <si>
    <t xml:space="preserve">Removed ₹ symbol and commas from price columns, converted to numbers</t>
  </si>
  <si>
    <t xml:space="preserve">all</t>
  </si>
  <si>
    <t xml:space="preserve">4</t>
  </si>
  <si>
    <t xml:space="preserve">Converted Discount % from text ("64%") to a number (0.64)</t>
  </si>
  <si>
    <t xml:space="preserve">5</t>
  </si>
  <si>
    <t xml:space="preserve">Rating had one invalid value ("|"): set to blank so it is excluded from averages</t>
  </si>
  <si>
    <t xml:space="preserve">6</t>
  </si>
  <si>
    <t xml:space="preserve">Rating Count had missing values: left blank, excluded from totals</t>
  </si>
  <si>
    <t xml:space="preserve">7</t>
  </si>
  <si>
    <t xml:space="preserve">Split category path into Main Category and Sub Category; grouped 5 tiny categories into "Other"</t>
  </si>
  <si>
    <t xml:space="preserve">8</t>
  </si>
  <si>
    <t xml:space="preserve">Dropped columns not needed for this analysis (review text, user IDs, image and product links)</t>
  </si>
  <si>
    <t xml:space="preserve">-</t>
  </si>
  <si>
    <t xml:space="preserve">9</t>
  </si>
  <si>
    <t xml:space="preserve">Added helper columns with formulas: Discount Amount, Discount Band, Rating Band</t>
  </si>
  <si>
    <t xml:space="preserve">10</t>
  </si>
  <si>
    <t xml:space="preserve">Final clean row count</t>
  </si>
  <si>
    <t xml:space="preserve">Note: this dataset has no dates or units-sold column, so the analysis covers pricing, discounts and ratings, not sales revenue or trends.</t>
  </si>
</sst>
</file>

<file path=xl/styles.xml><?xml version="1.0" encoding="utf-8"?>
<styleSheet xmlns="http://schemas.openxmlformats.org/spreadsheetml/2006/main">
  <numFmts count="6">
    <numFmt numFmtId="164" formatCode="General"/>
    <numFmt numFmtId="165" formatCode="#,##0"/>
    <numFmt numFmtId="166" formatCode="0.00"/>
    <numFmt numFmtId="167" formatCode="0.0%"/>
    <numFmt numFmtId="168" formatCode="0%"/>
    <numFmt numFmtId="169" formatCode="0.0"/>
  </numFmts>
  <fonts count="15">
    <font>
      <sz val="11"/>
      <color theme="1"/>
      <name val="Calibri"/>
      <family val="2"/>
      <charset val="1"/>
    </font>
    <font>
      <sz val="10"/>
      <name val="Arial"/>
      <family val="0"/>
    </font>
    <font>
      <sz val="10"/>
      <name val="Arial"/>
      <family val="0"/>
    </font>
    <font>
      <sz val="10"/>
      <name val="Arial"/>
      <family val="0"/>
    </font>
    <font>
      <b val="true"/>
      <sz val="22"/>
      <color rgb="FFFFFFFF"/>
      <name val="Arial"/>
      <family val="0"/>
      <charset val="1"/>
    </font>
    <font>
      <i val="true"/>
      <sz val="10"/>
      <color rgb="FF6B7280"/>
      <name val="Arial"/>
      <family val="0"/>
      <charset val="1"/>
    </font>
    <font>
      <b val="true"/>
      <sz val="10"/>
      <color rgb="FFFFFFFF"/>
      <name val="Arial"/>
      <family val="0"/>
      <charset val="1"/>
    </font>
    <font>
      <b val="true"/>
      <sz val="22"/>
      <color rgb="FF1F3A5F"/>
      <name val="Arial"/>
      <family val="0"/>
      <charset val="1"/>
    </font>
    <font>
      <b val="true"/>
      <sz val="18"/>
      <color rgb="FF000000"/>
      <name val="Calibri"/>
      <family val="2"/>
    </font>
    <font>
      <sz val="10"/>
      <color rgb="FF000000"/>
      <name val="Calibri"/>
      <family val="2"/>
    </font>
    <font>
      <b val="true"/>
      <sz val="11"/>
      <color rgb="FFFFFFFF"/>
      <name val="Arial"/>
      <family val="0"/>
      <charset val="1"/>
    </font>
    <font>
      <sz val="10"/>
      <name val="Arial"/>
      <family val="0"/>
      <charset val="1"/>
    </font>
    <font>
      <sz val="10"/>
      <name val="Noto Sans CJK SC"/>
      <family val="2"/>
    </font>
    <font>
      <b val="true"/>
      <sz val="12"/>
      <color rgb="FF1F3A5F"/>
      <name val="Arial"/>
      <family val="0"/>
      <charset val="1"/>
    </font>
    <font>
      <i val="true"/>
      <sz val="10"/>
      <name val="Arial"/>
      <family val="0"/>
      <charset val="1"/>
    </font>
  </fonts>
  <fills count="6">
    <fill>
      <patternFill patternType="none"/>
    </fill>
    <fill>
      <patternFill patternType="gray125"/>
    </fill>
    <fill>
      <patternFill patternType="solid">
        <fgColor rgb="FF1F3A5F"/>
        <bgColor rgb="FF333333"/>
      </patternFill>
    </fill>
    <fill>
      <patternFill patternType="solid">
        <fgColor rgb="FFF4F6F9"/>
        <bgColor rgb="FFFFFFFF"/>
      </patternFill>
    </fill>
    <fill>
      <patternFill patternType="solid">
        <fgColor rgb="FFF28C28"/>
        <bgColor rgb="FFFF8080"/>
      </patternFill>
    </fill>
    <fill>
      <patternFill patternType="solid">
        <fgColor rgb="FFFFFFFF"/>
        <bgColor rgb="FFF4F6F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3" borderId="0" xfId="0" applyFont="true" applyBorder="true" applyAlignment="true" applyProtection="false">
      <alignment horizontal="general" vertical="bottom" textRotation="0" wrapText="false" indent="1"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4" borderId="0" xfId="0" applyFont="true" applyBorder="true" applyAlignment="true" applyProtection="false">
      <alignment horizontal="center" vertical="bottom" textRotation="0" wrapText="false" indent="0" shrinkToFit="false"/>
      <protection locked="true" hidden="false"/>
    </xf>
    <xf numFmtId="165" fontId="7" fillId="5" borderId="0" xfId="0" applyFont="true" applyBorder="true" applyAlignment="true" applyProtection="false">
      <alignment horizontal="center" vertical="center" textRotation="0" wrapText="false" indent="0" shrinkToFit="false"/>
      <protection locked="true" hidden="false"/>
    </xf>
    <xf numFmtId="166" fontId="7" fillId="5" borderId="0" xfId="0" applyFont="true" applyBorder="true" applyAlignment="true" applyProtection="false">
      <alignment horizontal="center" vertical="center" textRotation="0" wrapText="false" indent="0" shrinkToFit="false"/>
      <protection locked="true" hidden="false"/>
    </xf>
    <xf numFmtId="167" fontId="7" fillId="5" borderId="0" xfId="0" applyFont="true" applyBorder="true" applyAlignment="true" applyProtection="false">
      <alignment horizontal="center" vertical="center" textRotation="0" wrapText="false" indent="0" shrinkToFit="false"/>
      <protection locked="true" hidden="false"/>
    </xf>
    <xf numFmtId="168" fontId="7" fillId="5" borderId="0" xfId="0" applyFont="true" applyBorder="true" applyAlignment="true" applyProtection="false">
      <alignment horizontal="center" vertical="center" textRotation="0" wrapText="false" indent="0" shrinkToFit="false"/>
      <protection locked="true" hidden="false"/>
    </xf>
    <xf numFmtId="164" fontId="10" fillId="2" borderId="0" xfId="0" applyFont="true" applyBorder="fals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center" vertical="bottom" textRotation="0" wrapText="tru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4F6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28C28"/>
      <rgbColor rgb="FFFF6600"/>
      <rgbColor rgb="FF6B7280"/>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Products by Main Category</a:t>
            </a:r>
          </a:p>
        </c:rich>
      </c:tx>
      <c:overlay val="0"/>
      <c:spPr>
        <a:noFill/>
        <a:ln w="0">
          <a:noFill/>
        </a:ln>
      </c:spPr>
    </c:title>
    <c:autoTitleDeleted val="0"/>
    <c:plotArea>
      <c:barChart>
        <c:barDir val="col"/>
        <c:grouping val="clustered"/>
        <c:varyColors val="0"/>
        <c:ser>
          <c:idx val="0"/>
          <c:order val="0"/>
          <c:tx>
            <c:strRef>
              <c:f>Analysis!B2</c:f>
              <c:strCache>
                <c:ptCount val="1"/>
                <c:pt idx="0">
                  <c:v>Products</c:v>
                </c:pt>
              </c:strCache>
            </c:strRef>
          </c:tx>
          <c:spPr>
            <a:solidFill>
              <a:srgbClr val="1f3a5f"/>
            </a:solidFill>
            <a:ln w="9360">
              <a:solidFill>
                <a:srgbClr val="1f3a5f"/>
              </a:solidFill>
              <a:round/>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Analysis!$A$3:$A$7</c:f>
              <c:strCache>
                <c:ptCount val="5"/>
                <c:pt idx="0">
                  <c:v>Electronics</c:v>
                </c:pt>
                <c:pt idx="1">
                  <c:v>Home &amp; Kitchen</c:v>
                </c:pt>
                <c:pt idx="2">
                  <c:v>Computers &amp; Accessories</c:v>
                </c:pt>
                <c:pt idx="3">
                  <c:v>Office Products</c:v>
                </c:pt>
                <c:pt idx="4">
                  <c:v>Other</c:v>
                </c:pt>
              </c:strCache>
            </c:strRef>
          </c:cat>
          <c:val>
            <c:numRef>
              <c:f>Analysis!$B$3:$B$7</c:f>
              <c:numCache>
                <c:formatCode>General</c:formatCode>
                <c:ptCount val="5"/>
                <c:pt idx="0">
                  <c:v>490</c:v>
                </c:pt>
                <c:pt idx="1">
                  <c:v>448</c:v>
                </c:pt>
                <c:pt idx="2">
                  <c:v>375</c:v>
                </c:pt>
                <c:pt idx="3">
                  <c:v>31</c:v>
                </c:pt>
                <c:pt idx="4">
                  <c:v>7</c:v>
                </c:pt>
              </c:numCache>
            </c:numRef>
          </c:val>
        </c:ser>
        <c:gapWidth val="60"/>
        <c:overlap val="0"/>
        <c:axId val="60328700"/>
        <c:axId val="59968100"/>
      </c:barChart>
      <c:catAx>
        <c:axId val="6032870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968100"/>
        <c:crosses val="autoZero"/>
        <c:auto val="1"/>
        <c:lblAlgn val="ctr"/>
        <c:lblOffset val="100"/>
        <c:noMultiLvlLbl val="0"/>
      </c:catAx>
      <c:valAx>
        <c:axId val="59968100"/>
        <c:scaling>
          <c:orientation val="minMax"/>
        </c:scaling>
        <c:delete val="1"/>
        <c:axPos val="l"/>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328700"/>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10 Sub-Categories (Products)</a:t>
            </a:r>
          </a:p>
        </c:rich>
      </c:tx>
      <c:overlay val="0"/>
      <c:spPr>
        <a:noFill/>
        <a:ln w="0">
          <a:noFill/>
        </a:ln>
      </c:spPr>
    </c:title>
    <c:autoTitleDeleted val="0"/>
    <c:plotArea>
      <c:barChart>
        <c:barDir val="bar"/>
        <c:grouping val="clustered"/>
        <c:varyColors val="0"/>
        <c:ser>
          <c:idx val="0"/>
          <c:order val="0"/>
          <c:tx>
            <c:strRef>
              <c:f>Analysis!B11</c:f>
              <c:strCache>
                <c:ptCount val="1"/>
                <c:pt idx="0">
                  <c:v>Products</c:v>
                </c:pt>
              </c:strCache>
            </c:strRef>
          </c:tx>
          <c:spPr>
            <a:solidFill>
              <a:srgbClr val="f28c28"/>
            </a:solidFill>
            <a:ln w="9360">
              <a:solidFill>
                <a:srgbClr val="f28c28"/>
              </a:solidFill>
              <a:round/>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Analysis!$A$12:$A$21</c:f>
              <c:strCache>
                <c:ptCount val="10"/>
                <c:pt idx="0">
                  <c:v>Kitchen &amp; Home Appliances</c:v>
                </c:pt>
                <c:pt idx="1">
                  <c:v>Accessories &amp; Peripherals</c:v>
                </c:pt>
                <c:pt idx="2">
                  <c:v>Home Theater, TV &amp; Video</c:v>
                </c:pt>
                <c:pt idx="3">
                  <c:v>Mobiles &amp; Accessories</c:v>
                </c:pt>
                <c:pt idx="4">
                  <c:v>Heating, Cooling &amp; Air Quality</c:v>
                </c:pt>
                <c:pt idx="5">
                  <c:v>Headphones, Earbuds &amp; Accessories</c:v>
                </c:pt>
                <c:pt idx="6">
                  <c:v>Wearable Technology</c:v>
                </c:pt>
                <c:pt idx="7">
                  <c:v>Networking Devices</c:v>
                </c:pt>
                <c:pt idx="8">
                  <c:v>Office Paper Products</c:v>
                </c:pt>
                <c:pt idx="9">
                  <c:v>External Devices &amp; Data Storage</c:v>
                </c:pt>
              </c:strCache>
            </c:strRef>
          </c:cat>
          <c:val>
            <c:numRef>
              <c:f>Analysis!$B$12:$B$21</c:f>
              <c:numCache>
                <c:formatCode>General</c:formatCode>
                <c:ptCount val="10"/>
                <c:pt idx="0">
                  <c:v>308</c:v>
                </c:pt>
                <c:pt idx="1">
                  <c:v>307</c:v>
                </c:pt>
                <c:pt idx="2">
                  <c:v>156</c:v>
                </c:pt>
                <c:pt idx="3">
                  <c:v>151</c:v>
                </c:pt>
                <c:pt idx="4">
                  <c:v>116</c:v>
                </c:pt>
                <c:pt idx="5">
                  <c:v>63</c:v>
                </c:pt>
                <c:pt idx="6">
                  <c:v>62</c:v>
                </c:pt>
                <c:pt idx="7">
                  <c:v>30</c:v>
                </c:pt>
                <c:pt idx="8">
                  <c:v>27</c:v>
                </c:pt>
                <c:pt idx="9">
                  <c:v>18</c:v>
                </c:pt>
              </c:numCache>
            </c:numRef>
          </c:val>
        </c:ser>
        <c:gapWidth val="60"/>
        <c:overlap val="0"/>
        <c:axId val="23892373"/>
        <c:axId val="62349535"/>
      </c:barChart>
      <c:catAx>
        <c:axId val="23892373"/>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349535"/>
        <c:crosses val="autoZero"/>
        <c:auto val="1"/>
        <c:lblAlgn val="ctr"/>
        <c:lblOffset val="100"/>
        <c:noMultiLvlLbl val="0"/>
      </c:catAx>
      <c:valAx>
        <c:axId val="62349535"/>
        <c:scaling>
          <c:orientation val="minMax"/>
        </c:scaling>
        <c:delete val="1"/>
        <c:axPos val="l"/>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892373"/>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Rating Distribution (Products)</a:t>
            </a:r>
          </a:p>
        </c:rich>
      </c:tx>
      <c:overlay val="0"/>
      <c:spPr>
        <a:noFill/>
        <a:ln w="0">
          <a:noFill/>
        </a:ln>
      </c:spPr>
    </c:title>
    <c:autoTitleDeleted val="0"/>
    <c:plotArea>
      <c:barChart>
        <c:barDir val="col"/>
        <c:grouping val="clustered"/>
        <c:varyColors val="0"/>
        <c:ser>
          <c:idx val="0"/>
          <c:order val="0"/>
          <c:tx>
            <c:strRef>
              <c:f>Analysis!B34</c:f>
              <c:strCache>
                <c:ptCount val="1"/>
                <c:pt idx="0">
                  <c:v>Products</c:v>
                </c:pt>
              </c:strCache>
            </c:strRef>
          </c:tx>
          <c:spPr>
            <a:solidFill>
              <a:srgbClr val="1f3a5f"/>
            </a:solidFill>
            <a:ln w="9360">
              <a:solidFill>
                <a:srgbClr val="1f3a5f"/>
              </a:solidFill>
              <a:round/>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Analysis!$A$35:$A$38</c:f>
              <c:strCache>
                <c:ptCount val="4"/>
                <c:pt idx="0">
                  <c:v>Below 3.5</c:v>
                </c:pt>
                <c:pt idx="1">
                  <c:v>3.5-3.9</c:v>
                </c:pt>
                <c:pt idx="2">
                  <c:v>4.0-4.4</c:v>
                </c:pt>
                <c:pt idx="3">
                  <c:v>4.5+</c:v>
                </c:pt>
              </c:strCache>
            </c:strRef>
          </c:cat>
          <c:val>
            <c:numRef>
              <c:f>Analysis!$B$35:$B$38</c:f>
              <c:numCache>
                <c:formatCode>General</c:formatCode>
                <c:ptCount val="4"/>
                <c:pt idx="0">
                  <c:v>41</c:v>
                </c:pt>
                <c:pt idx="1">
                  <c:v>299</c:v>
                </c:pt>
                <c:pt idx="2">
                  <c:v>914</c:v>
                </c:pt>
                <c:pt idx="3">
                  <c:v>96</c:v>
                </c:pt>
              </c:numCache>
            </c:numRef>
          </c:val>
        </c:ser>
        <c:gapWidth val="60"/>
        <c:overlap val="0"/>
        <c:axId val="52903749"/>
        <c:axId val="25286645"/>
      </c:barChart>
      <c:catAx>
        <c:axId val="5290374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286645"/>
        <c:crosses val="autoZero"/>
        <c:auto val="1"/>
        <c:lblAlgn val="ctr"/>
        <c:lblOffset val="100"/>
        <c:noMultiLvlLbl val="0"/>
      </c:catAx>
      <c:valAx>
        <c:axId val="25286645"/>
        <c:scaling>
          <c:orientation val="minMax"/>
        </c:scaling>
        <c:delete val="1"/>
        <c:axPos val="l"/>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903749"/>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Avg Rating by Discount Band</a:t>
            </a:r>
          </a:p>
        </c:rich>
      </c:tx>
      <c:overlay val="0"/>
      <c:spPr>
        <a:noFill/>
        <a:ln w="0">
          <a:noFill/>
        </a:ln>
      </c:spPr>
    </c:title>
    <c:autoTitleDeleted val="0"/>
    <c:plotArea>
      <c:barChart>
        <c:barDir val="col"/>
        <c:grouping val="clustered"/>
        <c:varyColors val="0"/>
        <c:ser>
          <c:idx val="0"/>
          <c:order val="0"/>
          <c:tx>
            <c:strRef>
              <c:f>Analysis!C25</c:f>
              <c:strCache>
                <c:ptCount val="1"/>
                <c:pt idx="0">
                  <c:v>Avg Rating</c:v>
                </c:pt>
              </c:strCache>
            </c:strRef>
          </c:tx>
          <c:spPr>
            <a:solidFill>
              <a:srgbClr val="f28c28"/>
            </a:solidFill>
            <a:ln w="9360">
              <a:solidFill>
                <a:srgbClr val="f28c28"/>
              </a:solidFill>
              <a:round/>
            </a:ln>
          </c:spPr>
          <c:invertIfNegative val="0"/>
          <c:dLbls>
            <c:numFmt formatCode="0.0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Analysis!$A$26:$A$30</c:f>
              <c:strCache>
                <c:ptCount val="5"/>
                <c:pt idx="0">
                  <c:v>0-19%</c:v>
                </c:pt>
                <c:pt idx="1">
                  <c:v>20-39%</c:v>
                </c:pt>
                <c:pt idx="2">
                  <c:v>40-59%</c:v>
                </c:pt>
                <c:pt idx="3">
                  <c:v>60-79%</c:v>
                </c:pt>
                <c:pt idx="4">
                  <c:v>80%+</c:v>
                </c:pt>
              </c:strCache>
            </c:strRef>
          </c:cat>
          <c:val>
            <c:numRef>
              <c:f>Analysis!$C$26:$C$30</c:f>
              <c:numCache>
                <c:formatCode>0.00</c:formatCode>
                <c:ptCount val="5"/>
                <c:pt idx="0">
                  <c:v>4.1639751552795</c:v>
                </c:pt>
                <c:pt idx="1">
                  <c:v>4.13386075949367</c:v>
                </c:pt>
                <c:pt idx="2">
                  <c:v>4.0815144766147</c:v>
                </c:pt>
                <c:pt idx="3">
                  <c:v>4.05043731778426</c:v>
                </c:pt>
                <c:pt idx="4">
                  <c:v>4.01728395061728</c:v>
                </c:pt>
              </c:numCache>
            </c:numRef>
          </c:val>
        </c:ser>
        <c:gapWidth val="60"/>
        <c:overlap val="0"/>
        <c:axId val="79430839"/>
        <c:axId val="56249694"/>
      </c:barChart>
      <c:catAx>
        <c:axId val="7943083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249694"/>
        <c:crosses val="autoZero"/>
        <c:auto val="1"/>
        <c:lblAlgn val="ctr"/>
        <c:lblOffset val="100"/>
        <c:noMultiLvlLbl val="0"/>
      </c:catAx>
      <c:valAx>
        <c:axId val="56249694"/>
        <c:scaling>
          <c:orientation val="minMax"/>
        </c:scaling>
        <c:delete val="1"/>
        <c:axPos val="l"/>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430839"/>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10 Most-Reviewed Products (unique listings)</a:t>
            </a:r>
          </a:p>
        </c:rich>
      </c:tx>
      <c:overlay val="0"/>
      <c:spPr>
        <a:noFill/>
        <a:ln w="0">
          <a:noFill/>
        </a:ln>
      </c:spPr>
    </c:title>
    <c:autoTitleDeleted val="0"/>
    <c:plotArea>
      <c:barChart>
        <c:barDir val="bar"/>
        <c:grouping val="clustered"/>
        <c:varyColors val="0"/>
        <c:ser>
          <c:idx val="0"/>
          <c:order val="0"/>
          <c:tx>
            <c:strRef>
              <c:f>Analysis!C42</c:f>
              <c:strCache>
                <c:ptCount val="1"/>
                <c:pt idx="0">
                  <c:v>Reviews</c:v>
                </c:pt>
              </c:strCache>
            </c:strRef>
          </c:tx>
          <c:spPr>
            <a:solidFill>
              <a:srgbClr val="1f3a5f"/>
            </a:solidFill>
            <a:ln w="9360">
              <a:solidFill>
                <a:srgbClr val="1f3a5f"/>
              </a:solidFill>
              <a:round/>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Analysis!$B$43:$B$52</c:f>
              <c:strCache>
                <c:ptCount val="10"/>
                <c:pt idx="0">
                  <c:v>AmazonBasics Flexible Premium HDMI Cable (Bla</c:v>
                </c:pt>
                <c:pt idx="1">
                  <c:v>boAt Bassheads 100 in Ear Wired Earphones wit</c:v>
                </c:pt>
                <c:pt idx="2">
                  <c:v>boAt BassHeads 100 in-Ear Wired Headphones wi</c:v>
                </c:pt>
                <c:pt idx="3">
                  <c:v>Redmi 9 Activ (Carbon Black, 4GB RAM, 64GB St</c:v>
                </c:pt>
                <c:pt idx="4">
                  <c:v>Redmi 9A Sport (Carbon Black, 2GB RAM, 32GB S</c:v>
                </c:pt>
                <c:pt idx="5">
                  <c:v>boAt Bassheads 225 in Ear Wired Earphones wit</c:v>
                </c:pt>
                <c:pt idx="6">
                  <c:v>Pigeon Polypropylene Mini Handy and Compact C</c:v>
                </c:pt>
                <c:pt idx="7">
                  <c:v>SanDisk Cruzer Blade 32GB USB Flash Drive</c:v>
                </c:pt>
                <c:pt idx="8">
                  <c:v>SanDisk Extreme SD UHS I 64GB Card for 4K Vid</c:v>
                </c:pt>
                <c:pt idx="9">
                  <c:v>JBL C100SI Wired In Ear Headphones with Mic, </c:v>
                </c:pt>
              </c:strCache>
            </c:strRef>
          </c:cat>
          <c:val>
            <c:numRef>
              <c:f>Analysis!$C$43:$C$52</c:f>
              <c:numCache>
                <c:formatCode>#,##0</c:formatCode>
                <c:ptCount val="10"/>
                <c:pt idx="0">
                  <c:v>426973</c:v>
                </c:pt>
                <c:pt idx="1">
                  <c:v>363713</c:v>
                </c:pt>
                <c:pt idx="2">
                  <c:v>363711</c:v>
                </c:pt>
                <c:pt idx="3">
                  <c:v>313836</c:v>
                </c:pt>
                <c:pt idx="4">
                  <c:v>313832</c:v>
                </c:pt>
                <c:pt idx="5">
                  <c:v>273189</c:v>
                </c:pt>
                <c:pt idx="6">
                  <c:v>270563</c:v>
                </c:pt>
                <c:pt idx="7">
                  <c:v>253105</c:v>
                </c:pt>
                <c:pt idx="8">
                  <c:v>205052</c:v>
                </c:pt>
                <c:pt idx="9">
                  <c:v>192590</c:v>
                </c:pt>
              </c:numCache>
            </c:numRef>
          </c:val>
        </c:ser>
        <c:gapWidth val="60"/>
        <c:overlap val="0"/>
        <c:axId val="31400875"/>
        <c:axId val="94266060"/>
      </c:barChart>
      <c:catAx>
        <c:axId val="31400875"/>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266060"/>
        <c:crosses val="autoZero"/>
        <c:auto val="1"/>
        <c:lblAlgn val="ctr"/>
        <c:lblOffset val="100"/>
        <c:noMultiLvlLbl val="0"/>
      </c:catAx>
      <c:valAx>
        <c:axId val="94266060"/>
        <c:scaling>
          <c:orientation val="minMax"/>
        </c:scaling>
        <c:delete val="1"/>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400875"/>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8</xdr:row>
      <xdr:rowOff>0</xdr:rowOff>
    </xdr:from>
    <xdr:to>
      <xdr:col>9</xdr:col>
      <xdr:colOff>581760</xdr:colOff>
      <xdr:row>23</xdr:row>
      <xdr:rowOff>21960</xdr:rowOff>
    </xdr:to>
    <xdr:graphicFrame>
      <xdr:nvGraphicFramePr>
        <xdr:cNvPr id="0" name="Chart 1"/>
        <xdr:cNvGraphicFramePr/>
      </xdr:nvGraphicFramePr>
      <xdr:xfrm>
        <a:off x="0" y="1523880"/>
        <a:ext cx="75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8</xdr:row>
      <xdr:rowOff>0</xdr:rowOff>
    </xdr:from>
    <xdr:to>
      <xdr:col>19</xdr:col>
      <xdr:colOff>581760</xdr:colOff>
      <xdr:row>23</xdr:row>
      <xdr:rowOff>21960</xdr:rowOff>
    </xdr:to>
    <xdr:graphicFrame>
      <xdr:nvGraphicFramePr>
        <xdr:cNvPr id="1" name="Chart 2"/>
        <xdr:cNvGraphicFramePr/>
      </xdr:nvGraphicFramePr>
      <xdr:xfrm>
        <a:off x="7753320" y="1523880"/>
        <a:ext cx="755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24</xdr:row>
      <xdr:rowOff>0</xdr:rowOff>
    </xdr:from>
    <xdr:to>
      <xdr:col>9</xdr:col>
      <xdr:colOff>581760</xdr:colOff>
      <xdr:row>39</xdr:row>
      <xdr:rowOff>21960</xdr:rowOff>
    </xdr:to>
    <xdr:graphicFrame>
      <xdr:nvGraphicFramePr>
        <xdr:cNvPr id="2" name="Chart 3"/>
        <xdr:cNvGraphicFramePr/>
      </xdr:nvGraphicFramePr>
      <xdr:xfrm>
        <a:off x="0" y="4572000"/>
        <a:ext cx="755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0</xdr:colOff>
      <xdr:row>24</xdr:row>
      <xdr:rowOff>0</xdr:rowOff>
    </xdr:from>
    <xdr:to>
      <xdr:col>19</xdr:col>
      <xdr:colOff>581760</xdr:colOff>
      <xdr:row>39</xdr:row>
      <xdr:rowOff>21960</xdr:rowOff>
    </xdr:to>
    <xdr:graphicFrame>
      <xdr:nvGraphicFramePr>
        <xdr:cNvPr id="3" name="Chart 4"/>
        <xdr:cNvGraphicFramePr/>
      </xdr:nvGraphicFramePr>
      <xdr:xfrm>
        <a:off x="7753320" y="4572000"/>
        <a:ext cx="7559640" cy="287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40</xdr:row>
      <xdr:rowOff>0</xdr:rowOff>
    </xdr:from>
    <xdr:to>
      <xdr:col>19</xdr:col>
      <xdr:colOff>568440</xdr:colOff>
      <xdr:row>57</xdr:row>
      <xdr:rowOff>1080</xdr:rowOff>
    </xdr:to>
    <xdr:graphicFrame>
      <xdr:nvGraphicFramePr>
        <xdr:cNvPr id="4" name="Chart 5"/>
        <xdr:cNvGraphicFramePr/>
      </xdr:nvGraphicFramePr>
      <xdr:xfrm>
        <a:off x="0" y="7620120"/>
        <a:ext cx="15299640" cy="323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5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0" min="1" style="0" width="11"/>
  </cols>
  <sheetData>
    <row r="1" customFormat="false" ht="15" hidden="false" customHeight="false" outlineLevel="0" collapsed="false">
      <c r="A1" s="1" t="s">
        <v>0</v>
      </c>
      <c r="B1" s="1"/>
      <c r="C1" s="1"/>
      <c r="D1" s="1"/>
      <c r="E1" s="1"/>
      <c r="F1" s="1"/>
      <c r="G1" s="1"/>
      <c r="H1" s="1"/>
      <c r="I1" s="1"/>
      <c r="J1" s="1"/>
      <c r="K1" s="1"/>
      <c r="L1" s="1"/>
      <c r="M1" s="1"/>
      <c r="N1" s="1"/>
      <c r="O1" s="1"/>
      <c r="P1" s="1"/>
      <c r="Q1" s="1"/>
      <c r="R1" s="1"/>
      <c r="S1" s="1"/>
      <c r="T1" s="1"/>
    </row>
    <row r="2" customFormat="false" ht="15" hidden="false" customHeight="false" outlineLevel="0" collapsed="false">
      <c r="A2" s="1"/>
      <c r="B2" s="1"/>
      <c r="C2" s="1"/>
      <c r="D2" s="1"/>
      <c r="E2" s="1"/>
      <c r="F2" s="1"/>
      <c r="G2" s="1"/>
      <c r="H2" s="1"/>
      <c r="I2" s="1"/>
      <c r="J2" s="1"/>
      <c r="K2" s="1"/>
      <c r="L2" s="1"/>
      <c r="M2" s="1"/>
      <c r="N2" s="1"/>
      <c r="O2" s="1"/>
      <c r="P2" s="1"/>
      <c r="Q2" s="1"/>
      <c r="R2" s="1"/>
      <c r="S2" s="1"/>
      <c r="T2" s="1"/>
    </row>
    <row r="3" customFormat="false" ht="15" hidden="false" customHeight="false" outlineLevel="0" collapsed="false">
      <c r="A3" s="2" t="s">
        <v>1</v>
      </c>
      <c r="B3" s="2"/>
      <c r="C3" s="2"/>
      <c r="D3" s="2"/>
      <c r="E3" s="2"/>
      <c r="F3" s="2"/>
      <c r="G3" s="2"/>
      <c r="H3" s="2"/>
      <c r="I3" s="2"/>
      <c r="J3" s="2"/>
      <c r="K3" s="2"/>
      <c r="L3" s="2"/>
      <c r="M3" s="2"/>
      <c r="N3" s="2"/>
      <c r="O3" s="2"/>
      <c r="P3" s="2"/>
      <c r="Q3" s="2"/>
      <c r="R3" s="2"/>
      <c r="S3" s="2"/>
      <c r="T3" s="2"/>
    </row>
    <row r="4" customFormat="false" ht="15" hidden="false" customHeight="false" outlineLevel="0" collapsed="false">
      <c r="A4" s="3"/>
      <c r="B4" s="3"/>
      <c r="C4" s="3"/>
      <c r="D4" s="3"/>
      <c r="E4" s="3"/>
      <c r="F4" s="3"/>
      <c r="G4" s="3"/>
      <c r="H4" s="3"/>
      <c r="I4" s="3"/>
      <c r="J4" s="3"/>
      <c r="K4" s="3"/>
      <c r="L4" s="3"/>
      <c r="M4" s="3"/>
      <c r="N4" s="3"/>
      <c r="O4" s="3"/>
      <c r="P4" s="3"/>
      <c r="Q4" s="3"/>
      <c r="R4" s="3"/>
      <c r="S4" s="3"/>
      <c r="T4" s="3"/>
    </row>
    <row r="5" customFormat="false" ht="15" hidden="false" customHeight="false" outlineLevel="0" collapsed="false">
      <c r="A5" s="4" t="s">
        <v>2</v>
      </c>
      <c r="B5" s="4"/>
      <c r="C5" s="4"/>
      <c r="D5" s="3"/>
      <c r="E5" s="4" t="s">
        <v>3</v>
      </c>
      <c r="F5" s="4"/>
      <c r="G5" s="4"/>
      <c r="H5" s="3"/>
      <c r="I5" s="4" t="s">
        <v>4</v>
      </c>
      <c r="J5" s="4"/>
      <c r="K5" s="4"/>
      <c r="L5" s="3"/>
      <c r="M5" s="4" t="s">
        <v>5</v>
      </c>
      <c r="N5" s="4"/>
      <c r="O5" s="4"/>
      <c r="P5" s="3"/>
      <c r="Q5" s="4" t="s">
        <v>6</v>
      </c>
      <c r="R5" s="4"/>
      <c r="S5" s="4"/>
      <c r="T5" s="3"/>
    </row>
    <row r="6" customFormat="false" ht="15" hidden="false" customHeight="false" outlineLevel="0" collapsed="false">
      <c r="A6" s="5" t="n">
        <f aca="false">COUNTA(Data!$A$2:$A$1352)</f>
        <v>1351</v>
      </c>
      <c r="B6" s="5"/>
      <c r="C6" s="5"/>
      <c r="D6" s="3"/>
      <c r="E6" s="6" t="n">
        <f aca="false">AVERAGE(Data!$H$2:$H$1352)</f>
        <v>4.09185185185185</v>
      </c>
      <c r="F6" s="6"/>
      <c r="G6" s="6"/>
      <c r="H6" s="3"/>
      <c r="I6" s="7" t="n">
        <f aca="false">AVERAGE(Data!$G$2:$G$1352)</f>
        <v>0.466854182087343</v>
      </c>
      <c r="J6" s="7"/>
      <c r="K6" s="7"/>
      <c r="L6" s="3"/>
      <c r="M6" s="8" t="n">
        <f aca="false">COUNTIFS(Data!$H$2:$H$1352,"&gt;=4")/COUNT(Data!$H$2:$H$1352)</f>
        <v>0.748148148148148</v>
      </c>
      <c r="N6" s="8"/>
      <c r="O6" s="8"/>
      <c r="P6" s="3"/>
      <c r="Q6" s="5" t="n">
        <f aca="false">AVERAGE(Data!$E$2:$E$1352)</f>
        <v>5691.17662472243</v>
      </c>
      <c r="R6" s="5"/>
      <c r="S6" s="5"/>
      <c r="T6" s="3"/>
    </row>
    <row r="7" customFormat="false" ht="15" hidden="false" customHeight="false" outlineLevel="0" collapsed="false">
      <c r="A7" s="5"/>
      <c r="B7" s="5"/>
      <c r="C7" s="5"/>
      <c r="D7" s="3"/>
      <c r="E7" s="6"/>
      <c r="F7" s="6"/>
      <c r="G7" s="6"/>
      <c r="H7" s="3"/>
      <c r="I7" s="7"/>
      <c r="J7" s="7"/>
      <c r="K7" s="7"/>
      <c r="L7" s="3"/>
      <c r="M7" s="8"/>
      <c r="N7" s="8"/>
      <c r="O7" s="8"/>
      <c r="P7" s="3"/>
      <c r="Q7" s="5"/>
      <c r="R7" s="5"/>
      <c r="S7" s="5"/>
      <c r="T7" s="3"/>
    </row>
    <row r="8" customFormat="false" ht="15" hidden="false" customHeight="false" outlineLevel="0" collapsed="false">
      <c r="A8" s="3"/>
      <c r="B8" s="3"/>
      <c r="C8" s="3"/>
      <c r="D8" s="3"/>
      <c r="E8" s="3"/>
      <c r="F8" s="3"/>
      <c r="G8" s="3"/>
      <c r="H8" s="3"/>
      <c r="I8" s="3"/>
      <c r="J8" s="3"/>
      <c r="K8" s="3"/>
      <c r="L8" s="3"/>
      <c r="M8" s="3"/>
      <c r="N8" s="3"/>
      <c r="O8" s="3"/>
      <c r="P8" s="3"/>
      <c r="Q8" s="3"/>
      <c r="R8" s="3"/>
      <c r="S8" s="3"/>
      <c r="T8" s="3"/>
    </row>
    <row r="9" customFormat="false" ht="15" hidden="false" customHeight="false" outlineLevel="0" collapsed="false">
      <c r="A9" s="3"/>
      <c r="B9" s="3"/>
      <c r="C9" s="3"/>
      <c r="D9" s="3"/>
      <c r="E9" s="3"/>
      <c r="F9" s="3"/>
      <c r="G9" s="3"/>
      <c r="H9" s="3"/>
      <c r="I9" s="3"/>
      <c r="J9" s="3"/>
      <c r="K9" s="3"/>
      <c r="L9" s="3"/>
      <c r="M9" s="3"/>
      <c r="N9" s="3"/>
      <c r="O9" s="3"/>
      <c r="P9" s="3"/>
      <c r="Q9" s="3"/>
      <c r="R9" s="3"/>
      <c r="S9" s="3"/>
      <c r="T9" s="3"/>
    </row>
    <row r="10" customFormat="false" ht="15" hidden="false" customHeight="false" outlineLevel="0" collapsed="false">
      <c r="A10" s="3"/>
      <c r="B10" s="3"/>
      <c r="C10" s="3"/>
      <c r="D10" s="3"/>
      <c r="E10" s="3"/>
      <c r="F10" s="3"/>
      <c r="G10" s="3"/>
      <c r="H10" s="3"/>
      <c r="I10" s="3"/>
      <c r="J10" s="3"/>
      <c r="K10" s="3"/>
      <c r="L10" s="3"/>
      <c r="M10" s="3"/>
      <c r="N10" s="3"/>
      <c r="O10" s="3"/>
      <c r="P10" s="3"/>
      <c r="Q10" s="3"/>
      <c r="R10" s="3"/>
      <c r="S10" s="3"/>
      <c r="T10" s="3"/>
    </row>
    <row r="11" customFormat="false" ht="15" hidden="false" customHeight="false" outlineLevel="0" collapsed="false">
      <c r="A11" s="3"/>
      <c r="B11" s="3"/>
      <c r="C11" s="3"/>
      <c r="D11" s="3"/>
      <c r="E11" s="3"/>
      <c r="F11" s="3"/>
      <c r="G11" s="3"/>
      <c r="H11" s="3"/>
      <c r="I11" s="3"/>
      <c r="J11" s="3"/>
      <c r="K11" s="3"/>
      <c r="L11" s="3"/>
      <c r="M11" s="3"/>
      <c r="N11" s="3"/>
      <c r="O11" s="3"/>
      <c r="P11" s="3"/>
      <c r="Q11" s="3"/>
      <c r="R11" s="3"/>
      <c r="S11" s="3"/>
      <c r="T11" s="3"/>
    </row>
    <row r="12" customFormat="false" ht="15" hidden="false" customHeight="false" outlineLevel="0" collapsed="false">
      <c r="A12" s="3"/>
      <c r="B12" s="3"/>
      <c r="C12" s="3"/>
      <c r="D12" s="3"/>
      <c r="E12" s="3"/>
      <c r="F12" s="3"/>
      <c r="G12" s="3"/>
      <c r="H12" s="3"/>
      <c r="I12" s="3"/>
      <c r="J12" s="3"/>
      <c r="K12" s="3"/>
      <c r="L12" s="3"/>
      <c r="M12" s="3"/>
      <c r="N12" s="3"/>
      <c r="O12" s="3"/>
      <c r="P12" s="3"/>
      <c r="Q12" s="3"/>
      <c r="R12" s="3"/>
      <c r="S12" s="3"/>
      <c r="T12" s="3"/>
    </row>
    <row r="13" customFormat="false" ht="15" hidden="false" customHeight="false" outlineLevel="0" collapsed="false">
      <c r="A13" s="3"/>
      <c r="B13" s="3"/>
      <c r="C13" s="3"/>
      <c r="D13" s="3"/>
      <c r="E13" s="3"/>
      <c r="F13" s="3"/>
      <c r="G13" s="3"/>
      <c r="H13" s="3"/>
      <c r="I13" s="3"/>
      <c r="J13" s="3"/>
      <c r="K13" s="3"/>
      <c r="L13" s="3"/>
      <c r="M13" s="3"/>
      <c r="N13" s="3"/>
      <c r="O13" s="3"/>
      <c r="P13" s="3"/>
      <c r="Q13" s="3"/>
      <c r="R13" s="3"/>
      <c r="S13" s="3"/>
      <c r="T13" s="3"/>
    </row>
    <row r="14" customFormat="false" ht="15" hidden="false" customHeight="false" outlineLevel="0" collapsed="false">
      <c r="A14" s="3"/>
      <c r="B14" s="3"/>
      <c r="C14" s="3"/>
      <c r="D14" s="3"/>
      <c r="E14" s="3"/>
      <c r="F14" s="3"/>
      <c r="G14" s="3"/>
      <c r="H14" s="3"/>
      <c r="I14" s="3"/>
      <c r="J14" s="3"/>
      <c r="K14" s="3"/>
      <c r="L14" s="3"/>
      <c r="M14" s="3"/>
      <c r="N14" s="3"/>
      <c r="O14" s="3"/>
      <c r="P14" s="3"/>
      <c r="Q14" s="3"/>
      <c r="R14" s="3"/>
      <c r="S14" s="3"/>
      <c r="T14" s="3"/>
    </row>
    <row r="15" customFormat="false" ht="15" hidden="false" customHeight="false" outlineLevel="0" collapsed="false">
      <c r="A15" s="3"/>
      <c r="B15" s="3"/>
      <c r="C15" s="3"/>
      <c r="D15" s="3"/>
      <c r="E15" s="3"/>
      <c r="F15" s="3"/>
      <c r="G15" s="3"/>
      <c r="H15" s="3"/>
      <c r="I15" s="3"/>
      <c r="J15" s="3"/>
      <c r="K15" s="3"/>
      <c r="L15" s="3"/>
      <c r="M15" s="3"/>
      <c r="N15" s="3"/>
      <c r="O15" s="3"/>
      <c r="P15" s="3"/>
      <c r="Q15" s="3"/>
      <c r="R15" s="3"/>
      <c r="S15" s="3"/>
      <c r="T15" s="3"/>
    </row>
    <row r="16" customFormat="false" ht="15" hidden="false" customHeight="false" outlineLevel="0" collapsed="false">
      <c r="A16" s="3"/>
      <c r="B16" s="3"/>
      <c r="C16" s="3"/>
      <c r="D16" s="3"/>
      <c r="E16" s="3"/>
      <c r="F16" s="3"/>
      <c r="G16" s="3"/>
      <c r="H16" s="3"/>
      <c r="I16" s="3"/>
      <c r="J16" s="3"/>
      <c r="K16" s="3"/>
      <c r="L16" s="3"/>
      <c r="M16" s="3"/>
      <c r="N16" s="3"/>
      <c r="O16" s="3"/>
      <c r="P16" s="3"/>
      <c r="Q16" s="3"/>
      <c r="R16" s="3"/>
      <c r="S16" s="3"/>
      <c r="T16" s="3"/>
    </row>
    <row r="17" customFormat="false" ht="15" hidden="false" customHeight="false" outlineLevel="0" collapsed="false">
      <c r="A17" s="3"/>
      <c r="B17" s="3"/>
      <c r="C17" s="3"/>
      <c r="D17" s="3"/>
      <c r="E17" s="3"/>
      <c r="F17" s="3"/>
      <c r="G17" s="3"/>
      <c r="H17" s="3"/>
      <c r="I17" s="3"/>
      <c r="J17" s="3"/>
      <c r="K17" s="3"/>
      <c r="L17" s="3"/>
      <c r="M17" s="3"/>
      <c r="N17" s="3"/>
      <c r="O17" s="3"/>
      <c r="P17" s="3"/>
      <c r="Q17" s="3"/>
      <c r="R17" s="3"/>
      <c r="S17" s="3"/>
      <c r="T17" s="3"/>
    </row>
    <row r="18" customFormat="false" ht="15" hidden="false" customHeight="false" outlineLevel="0" collapsed="false">
      <c r="A18" s="3"/>
      <c r="B18" s="3"/>
      <c r="C18" s="3"/>
      <c r="D18" s="3"/>
      <c r="E18" s="3"/>
      <c r="F18" s="3"/>
      <c r="G18" s="3"/>
      <c r="H18" s="3"/>
      <c r="I18" s="3"/>
      <c r="J18" s="3"/>
      <c r="K18" s="3"/>
      <c r="L18" s="3"/>
      <c r="M18" s="3"/>
      <c r="N18" s="3"/>
      <c r="O18" s="3"/>
      <c r="P18" s="3"/>
      <c r="Q18" s="3"/>
      <c r="R18" s="3"/>
      <c r="S18" s="3"/>
      <c r="T18" s="3"/>
    </row>
    <row r="19" customFormat="false" ht="15" hidden="false" customHeight="false" outlineLevel="0" collapsed="false">
      <c r="A19" s="3"/>
      <c r="B19" s="3"/>
      <c r="C19" s="3"/>
      <c r="D19" s="3"/>
      <c r="E19" s="3"/>
      <c r="F19" s="3"/>
      <c r="G19" s="3"/>
      <c r="H19" s="3"/>
      <c r="I19" s="3"/>
      <c r="J19" s="3"/>
      <c r="K19" s="3"/>
      <c r="L19" s="3"/>
      <c r="M19" s="3"/>
      <c r="N19" s="3"/>
      <c r="O19" s="3"/>
      <c r="P19" s="3"/>
      <c r="Q19" s="3"/>
      <c r="R19" s="3"/>
      <c r="S19" s="3"/>
      <c r="T19" s="3"/>
    </row>
    <row r="20" customFormat="false" ht="15" hidden="false" customHeight="false" outlineLevel="0" collapsed="false">
      <c r="A20" s="3"/>
      <c r="B20" s="3"/>
      <c r="C20" s="3"/>
      <c r="D20" s="3"/>
      <c r="E20" s="3"/>
      <c r="F20" s="3"/>
      <c r="G20" s="3"/>
      <c r="H20" s="3"/>
      <c r="I20" s="3"/>
      <c r="J20" s="3"/>
      <c r="K20" s="3"/>
      <c r="L20" s="3"/>
      <c r="M20" s="3"/>
      <c r="N20" s="3"/>
      <c r="O20" s="3"/>
      <c r="P20" s="3"/>
      <c r="Q20" s="3"/>
      <c r="R20" s="3"/>
      <c r="S20" s="3"/>
      <c r="T20" s="3"/>
    </row>
    <row r="21" customFormat="false" ht="15" hidden="false" customHeight="false" outlineLevel="0" collapsed="false">
      <c r="A21" s="3"/>
      <c r="B21" s="3"/>
      <c r="C21" s="3"/>
      <c r="D21" s="3"/>
      <c r="E21" s="3"/>
      <c r="F21" s="3"/>
      <c r="G21" s="3"/>
      <c r="H21" s="3"/>
      <c r="I21" s="3"/>
      <c r="J21" s="3"/>
      <c r="K21" s="3"/>
      <c r="L21" s="3"/>
      <c r="M21" s="3"/>
      <c r="N21" s="3"/>
      <c r="O21" s="3"/>
      <c r="P21" s="3"/>
      <c r="Q21" s="3"/>
      <c r="R21" s="3"/>
      <c r="S21" s="3"/>
      <c r="T21" s="3"/>
    </row>
    <row r="22" customFormat="false" ht="15" hidden="false" customHeight="false" outlineLevel="0" collapsed="false">
      <c r="A22" s="3"/>
      <c r="B22" s="3"/>
      <c r="C22" s="3"/>
      <c r="D22" s="3"/>
      <c r="E22" s="3"/>
      <c r="F22" s="3"/>
      <c r="G22" s="3"/>
      <c r="H22" s="3"/>
      <c r="I22" s="3"/>
      <c r="J22" s="3"/>
      <c r="K22" s="3"/>
      <c r="L22" s="3"/>
      <c r="M22" s="3"/>
      <c r="N22" s="3"/>
      <c r="O22" s="3"/>
      <c r="P22" s="3"/>
      <c r="Q22" s="3"/>
      <c r="R22" s="3"/>
      <c r="S22" s="3"/>
      <c r="T22" s="3"/>
    </row>
    <row r="23" customFormat="false" ht="15" hidden="false" customHeight="false" outlineLevel="0" collapsed="false">
      <c r="A23" s="3"/>
      <c r="B23" s="3"/>
      <c r="C23" s="3"/>
      <c r="D23" s="3"/>
      <c r="E23" s="3"/>
      <c r="F23" s="3"/>
      <c r="G23" s="3"/>
      <c r="H23" s="3"/>
      <c r="I23" s="3"/>
      <c r="J23" s="3"/>
      <c r="K23" s="3"/>
      <c r="L23" s="3"/>
      <c r="M23" s="3"/>
      <c r="N23" s="3"/>
      <c r="O23" s="3"/>
      <c r="P23" s="3"/>
      <c r="Q23" s="3"/>
      <c r="R23" s="3"/>
      <c r="S23" s="3"/>
      <c r="T23" s="3"/>
    </row>
    <row r="24" customFormat="false" ht="15" hidden="false" customHeight="false" outlineLevel="0" collapsed="false">
      <c r="A24" s="3"/>
      <c r="B24" s="3"/>
      <c r="C24" s="3"/>
      <c r="D24" s="3"/>
      <c r="E24" s="3"/>
      <c r="F24" s="3"/>
      <c r="G24" s="3"/>
      <c r="H24" s="3"/>
      <c r="I24" s="3"/>
      <c r="J24" s="3"/>
      <c r="K24" s="3"/>
      <c r="L24" s="3"/>
      <c r="M24" s="3"/>
      <c r="N24" s="3"/>
      <c r="O24" s="3"/>
      <c r="P24" s="3"/>
      <c r="Q24" s="3"/>
      <c r="R24" s="3"/>
      <c r="S24" s="3"/>
      <c r="T24" s="3"/>
    </row>
    <row r="25" customFormat="false" ht="15" hidden="false" customHeight="false" outlineLevel="0" collapsed="false">
      <c r="A25" s="3"/>
      <c r="B25" s="3"/>
      <c r="C25" s="3"/>
      <c r="D25" s="3"/>
      <c r="E25" s="3"/>
      <c r="F25" s="3"/>
      <c r="G25" s="3"/>
      <c r="H25" s="3"/>
      <c r="I25" s="3"/>
      <c r="J25" s="3"/>
      <c r="K25" s="3"/>
      <c r="L25" s="3"/>
      <c r="M25" s="3"/>
      <c r="N25" s="3"/>
      <c r="O25" s="3"/>
      <c r="P25" s="3"/>
      <c r="Q25" s="3"/>
      <c r="R25" s="3"/>
      <c r="S25" s="3"/>
      <c r="T25" s="3"/>
    </row>
    <row r="26" customFormat="false" ht="15" hidden="false" customHeight="false" outlineLevel="0" collapsed="false">
      <c r="A26" s="3"/>
      <c r="B26" s="3"/>
      <c r="C26" s="3"/>
      <c r="D26" s="3"/>
      <c r="E26" s="3"/>
      <c r="F26" s="3"/>
      <c r="G26" s="3"/>
      <c r="H26" s="3"/>
      <c r="I26" s="3"/>
      <c r="J26" s="3"/>
      <c r="K26" s="3"/>
      <c r="L26" s="3"/>
      <c r="M26" s="3"/>
      <c r="N26" s="3"/>
      <c r="O26" s="3"/>
      <c r="P26" s="3"/>
      <c r="Q26" s="3"/>
      <c r="R26" s="3"/>
      <c r="S26" s="3"/>
      <c r="T26" s="3"/>
    </row>
    <row r="27" customFormat="false" ht="15" hidden="false" customHeight="false" outlineLevel="0" collapsed="false">
      <c r="A27" s="3"/>
      <c r="B27" s="3"/>
      <c r="C27" s="3"/>
      <c r="D27" s="3"/>
      <c r="E27" s="3"/>
      <c r="F27" s="3"/>
      <c r="G27" s="3"/>
      <c r="H27" s="3"/>
      <c r="I27" s="3"/>
      <c r="J27" s="3"/>
      <c r="K27" s="3"/>
      <c r="L27" s="3"/>
      <c r="M27" s="3"/>
      <c r="N27" s="3"/>
      <c r="O27" s="3"/>
      <c r="P27" s="3"/>
      <c r="Q27" s="3"/>
      <c r="R27" s="3"/>
      <c r="S27" s="3"/>
      <c r="T27" s="3"/>
    </row>
    <row r="28" customFormat="false" ht="15" hidden="false" customHeight="false" outlineLevel="0" collapsed="false">
      <c r="A28" s="3"/>
      <c r="B28" s="3"/>
      <c r="C28" s="3"/>
      <c r="D28" s="3"/>
      <c r="E28" s="3"/>
      <c r="F28" s="3"/>
      <c r="G28" s="3"/>
      <c r="H28" s="3"/>
      <c r="I28" s="3"/>
      <c r="J28" s="3"/>
      <c r="K28" s="3"/>
      <c r="L28" s="3"/>
      <c r="M28" s="3"/>
      <c r="N28" s="3"/>
      <c r="O28" s="3"/>
      <c r="P28" s="3"/>
      <c r="Q28" s="3"/>
      <c r="R28" s="3"/>
      <c r="S28" s="3"/>
      <c r="T28" s="3"/>
    </row>
    <row r="29" customFormat="false" ht="15" hidden="false" customHeight="false" outlineLevel="0" collapsed="false">
      <c r="A29" s="3"/>
      <c r="B29" s="3"/>
      <c r="C29" s="3"/>
      <c r="D29" s="3"/>
      <c r="E29" s="3"/>
      <c r="F29" s="3"/>
      <c r="G29" s="3"/>
      <c r="H29" s="3"/>
      <c r="I29" s="3"/>
      <c r="J29" s="3"/>
      <c r="K29" s="3"/>
      <c r="L29" s="3"/>
      <c r="M29" s="3"/>
      <c r="N29" s="3"/>
      <c r="O29" s="3"/>
      <c r="P29" s="3"/>
      <c r="Q29" s="3"/>
      <c r="R29" s="3"/>
      <c r="S29" s="3"/>
      <c r="T29" s="3"/>
    </row>
    <row r="30" customFormat="false" ht="15" hidden="false" customHeight="false" outlineLevel="0" collapsed="false">
      <c r="A30" s="3"/>
      <c r="B30" s="3"/>
      <c r="C30" s="3"/>
      <c r="D30" s="3"/>
      <c r="E30" s="3"/>
      <c r="F30" s="3"/>
      <c r="G30" s="3"/>
      <c r="H30" s="3"/>
      <c r="I30" s="3"/>
      <c r="J30" s="3"/>
      <c r="K30" s="3"/>
      <c r="L30" s="3"/>
      <c r="M30" s="3"/>
      <c r="N30" s="3"/>
      <c r="O30" s="3"/>
      <c r="P30" s="3"/>
      <c r="Q30" s="3"/>
      <c r="R30" s="3"/>
      <c r="S30" s="3"/>
      <c r="T30" s="3"/>
    </row>
    <row r="31" customFormat="false" ht="15" hidden="false" customHeight="false" outlineLevel="0" collapsed="false">
      <c r="A31" s="3"/>
      <c r="B31" s="3"/>
      <c r="C31" s="3"/>
      <c r="D31" s="3"/>
      <c r="E31" s="3"/>
      <c r="F31" s="3"/>
      <c r="G31" s="3"/>
      <c r="H31" s="3"/>
      <c r="I31" s="3"/>
      <c r="J31" s="3"/>
      <c r="K31" s="3"/>
      <c r="L31" s="3"/>
      <c r="M31" s="3"/>
      <c r="N31" s="3"/>
      <c r="O31" s="3"/>
      <c r="P31" s="3"/>
      <c r="Q31" s="3"/>
      <c r="R31" s="3"/>
      <c r="S31" s="3"/>
      <c r="T31" s="3"/>
    </row>
    <row r="32" customFormat="false" ht="15" hidden="false" customHeight="false" outlineLevel="0" collapsed="false">
      <c r="A32" s="3"/>
      <c r="B32" s="3"/>
      <c r="C32" s="3"/>
      <c r="D32" s="3"/>
      <c r="E32" s="3"/>
      <c r="F32" s="3"/>
      <c r="G32" s="3"/>
      <c r="H32" s="3"/>
      <c r="I32" s="3"/>
      <c r="J32" s="3"/>
      <c r="K32" s="3"/>
      <c r="L32" s="3"/>
      <c r="M32" s="3"/>
      <c r="N32" s="3"/>
      <c r="O32" s="3"/>
      <c r="P32" s="3"/>
      <c r="Q32" s="3"/>
      <c r="R32" s="3"/>
      <c r="S32" s="3"/>
      <c r="T32" s="3"/>
    </row>
    <row r="33" customFormat="false" ht="15" hidden="false" customHeight="false" outlineLevel="0" collapsed="false">
      <c r="A33" s="3"/>
      <c r="B33" s="3"/>
      <c r="C33" s="3"/>
      <c r="D33" s="3"/>
      <c r="E33" s="3"/>
      <c r="F33" s="3"/>
      <c r="G33" s="3"/>
      <c r="H33" s="3"/>
      <c r="I33" s="3"/>
      <c r="J33" s="3"/>
      <c r="K33" s="3"/>
      <c r="L33" s="3"/>
      <c r="M33" s="3"/>
      <c r="N33" s="3"/>
      <c r="O33" s="3"/>
      <c r="P33" s="3"/>
      <c r="Q33" s="3"/>
      <c r="R33" s="3"/>
      <c r="S33" s="3"/>
      <c r="T33" s="3"/>
    </row>
    <row r="34" customFormat="false" ht="15" hidden="false" customHeight="false" outlineLevel="0" collapsed="false">
      <c r="A34" s="3"/>
      <c r="B34" s="3"/>
      <c r="C34" s="3"/>
      <c r="D34" s="3"/>
      <c r="E34" s="3"/>
      <c r="F34" s="3"/>
      <c r="G34" s="3"/>
      <c r="H34" s="3"/>
      <c r="I34" s="3"/>
      <c r="J34" s="3"/>
      <c r="K34" s="3"/>
      <c r="L34" s="3"/>
      <c r="M34" s="3"/>
      <c r="N34" s="3"/>
      <c r="O34" s="3"/>
      <c r="P34" s="3"/>
      <c r="Q34" s="3"/>
      <c r="R34" s="3"/>
      <c r="S34" s="3"/>
      <c r="T34" s="3"/>
    </row>
    <row r="35" customFormat="false" ht="15" hidden="false" customHeight="false" outlineLevel="0" collapsed="false">
      <c r="A35" s="3"/>
      <c r="B35" s="3"/>
      <c r="C35" s="3"/>
      <c r="D35" s="3"/>
      <c r="E35" s="3"/>
      <c r="F35" s="3"/>
      <c r="G35" s="3"/>
      <c r="H35" s="3"/>
      <c r="I35" s="3"/>
      <c r="J35" s="3"/>
      <c r="K35" s="3"/>
      <c r="L35" s="3"/>
      <c r="M35" s="3"/>
      <c r="N35" s="3"/>
      <c r="O35" s="3"/>
      <c r="P35" s="3"/>
      <c r="Q35" s="3"/>
      <c r="R35" s="3"/>
      <c r="S35" s="3"/>
      <c r="T35" s="3"/>
    </row>
    <row r="36" customFormat="false" ht="15" hidden="false" customHeight="false" outlineLevel="0" collapsed="false">
      <c r="A36" s="3"/>
      <c r="B36" s="3"/>
      <c r="C36" s="3"/>
      <c r="D36" s="3"/>
      <c r="E36" s="3"/>
      <c r="F36" s="3"/>
      <c r="G36" s="3"/>
      <c r="H36" s="3"/>
      <c r="I36" s="3"/>
      <c r="J36" s="3"/>
      <c r="K36" s="3"/>
      <c r="L36" s="3"/>
      <c r="M36" s="3"/>
      <c r="N36" s="3"/>
      <c r="O36" s="3"/>
      <c r="P36" s="3"/>
      <c r="Q36" s="3"/>
      <c r="R36" s="3"/>
      <c r="S36" s="3"/>
      <c r="T36" s="3"/>
    </row>
    <row r="37" customFormat="false" ht="15" hidden="false" customHeight="false" outlineLevel="0" collapsed="false">
      <c r="A37" s="3"/>
      <c r="B37" s="3"/>
      <c r="C37" s="3"/>
      <c r="D37" s="3"/>
      <c r="E37" s="3"/>
      <c r="F37" s="3"/>
      <c r="G37" s="3"/>
      <c r="H37" s="3"/>
      <c r="I37" s="3"/>
      <c r="J37" s="3"/>
      <c r="K37" s="3"/>
      <c r="L37" s="3"/>
      <c r="M37" s="3"/>
      <c r="N37" s="3"/>
      <c r="O37" s="3"/>
      <c r="P37" s="3"/>
      <c r="Q37" s="3"/>
      <c r="R37" s="3"/>
      <c r="S37" s="3"/>
      <c r="T37" s="3"/>
    </row>
    <row r="38" customFormat="false" ht="15" hidden="false" customHeight="false" outlineLevel="0" collapsed="false">
      <c r="A38" s="3"/>
      <c r="B38" s="3"/>
      <c r="C38" s="3"/>
      <c r="D38" s="3"/>
      <c r="E38" s="3"/>
      <c r="F38" s="3"/>
      <c r="G38" s="3"/>
      <c r="H38" s="3"/>
      <c r="I38" s="3"/>
      <c r="J38" s="3"/>
      <c r="K38" s="3"/>
      <c r="L38" s="3"/>
      <c r="M38" s="3"/>
      <c r="N38" s="3"/>
      <c r="O38" s="3"/>
      <c r="P38" s="3"/>
      <c r="Q38" s="3"/>
      <c r="R38" s="3"/>
      <c r="S38" s="3"/>
      <c r="T38" s="3"/>
    </row>
    <row r="39" customFormat="false" ht="15" hidden="false" customHeight="false" outlineLevel="0" collapsed="false">
      <c r="A39" s="3"/>
      <c r="B39" s="3"/>
      <c r="C39" s="3"/>
      <c r="D39" s="3"/>
      <c r="E39" s="3"/>
      <c r="F39" s="3"/>
      <c r="G39" s="3"/>
      <c r="H39" s="3"/>
      <c r="I39" s="3"/>
      <c r="J39" s="3"/>
      <c r="K39" s="3"/>
      <c r="L39" s="3"/>
      <c r="M39" s="3"/>
      <c r="N39" s="3"/>
      <c r="O39" s="3"/>
      <c r="P39" s="3"/>
      <c r="Q39" s="3"/>
      <c r="R39" s="3"/>
      <c r="S39" s="3"/>
      <c r="T39" s="3"/>
    </row>
    <row r="40" customFormat="false" ht="15" hidden="false" customHeight="false" outlineLevel="0" collapsed="false">
      <c r="A40" s="3"/>
      <c r="B40" s="3"/>
      <c r="C40" s="3"/>
      <c r="D40" s="3"/>
      <c r="E40" s="3"/>
      <c r="F40" s="3"/>
      <c r="G40" s="3"/>
      <c r="H40" s="3"/>
      <c r="I40" s="3"/>
      <c r="J40" s="3"/>
      <c r="K40" s="3"/>
      <c r="L40" s="3"/>
      <c r="M40" s="3"/>
      <c r="N40" s="3"/>
      <c r="O40" s="3"/>
      <c r="P40" s="3"/>
      <c r="Q40" s="3"/>
      <c r="R40" s="3"/>
      <c r="S40" s="3"/>
      <c r="T40" s="3"/>
    </row>
    <row r="41" customFormat="false" ht="15" hidden="false" customHeight="false" outlineLevel="0" collapsed="false">
      <c r="A41" s="3"/>
      <c r="B41" s="3"/>
      <c r="C41" s="3"/>
      <c r="D41" s="3"/>
      <c r="E41" s="3"/>
      <c r="F41" s="3"/>
      <c r="G41" s="3"/>
      <c r="H41" s="3"/>
      <c r="I41" s="3"/>
      <c r="J41" s="3"/>
      <c r="K41" s="3"/>
      <c r="L41" s="3"/>
      <c r="M41" s="3"/>
      <c r="N41" s="3"/>
      <c r="O41" s="3"/>
      <c r="P41" s="3"/>
      <c r="Q41" s="3"/>
      <c r="R41" s="3"/>
      <c r="S41" s="3"/>
      <c r="T41" s="3"/>
    </row>
    <row r="42" customFormat="false" ht="15" hidden="false" customHeight="false" outlineLevel="0" collapsed="false">
      <c r="A42" s="3"/>
      <c r="B42" s="3"/>
      <c r="C42" s="3"/>
      <c r="D42" s="3"/>
      <c r="E42" s="3"/>
      <c r="F42" s="3"/>
      <c r="G42" s="3"/>
      <c r="H42" s="3"/>
      <c r="I42" s="3"/>
      <c r="J42" s="3"/>
      <c r="K42" s="3"/>
      <c r="L42" s="3"/>
      <c r="M42" s="3"/>
      <c r="N42" s="3"/>
      <c r="O42" s="3"/>
      <c r="P42" s="3"/>
      <c r="Q42" s="3"/>
      <c r="R42" s="3"/>
      <c r="S42" s="3"/>
      <c r="T42" s="3"/>
    </row>
    <row r="43" customFormat="false" ht="15" hidden="false" customHeight="false" outlineLevel="0" collapsed="false">
      <c r="A43" s="3"/>
      <c r="B43" s="3"/>
      <c r="C43" s="3"/>
      <c r="D43" s="3"/>
      <c r="E43" s="3"/>
      <c r="F43" s="3"/>
      <c r="G43" s="3"/>
      <c r="H43" s="3"/>
      <c r="I43" s="3"/>
      <c r="J43" s="3"/>
      <c r="K43" s="3"/>
      <c r="L43" s="3"/>
      <c r="M43" s="3"/>
      <c r="N43" s="3"/>
      <c r="O43" s="3"/>
      <c r="P43" s="3"/>
      <c r="Q43" s="3"/>
      <c r="R43" s="3"/>
      <c r="S43" s="3"/>
      <c r="T43" s="3"/>
    </row>
    <row r="44" customFormat="false" ht="15" hidden="false" customHeight="false" outlineLevel="0" collapsed="false">
      <c r="A44" s="3"/>
      <c r="B44" s="3"/>
      <c r="C44" s="3"/>
      <c r="D44" s="3"/>
      <c r="E44" s="3"/>
      <c r="F44" s="3"/>
      <c r="G44" s="3"/>
      <c r="H44" s="3"/>
      <c r="I44" s="3"/>
      <c r="J44" s="3"/>
      <c r="K44" s="3"/>
      <c r="L44" s="3"/>
      <c r="M44" s="3"/>
      <c r="N44" s="3"/>
      <c r="O44" s="3"/>
      <c r="P44" s="3"/>
      <c r="Q44" s="3"/>
      <c r="R44" s="3"/>
      <c r="S44" s="3"/>
      <c r="T44" s="3"/>
    </row>
    <row r="45" customFormat="false" ht="15" hidden="false" customHeight="false" outlineLevel="0" collapsed="false">
      <c r="A45" s="3"/>
      <c r="B45" s="3"/>
      <c r="C45" s="3"/>
      <c r="D45" s="3"/>
      <c r="E45" s="3"/>
      <c r="F45" s="3"/>
      <c r="G45" s="3"/>
      <c r="H45" s="3"/>
      <c r="I45" s="3"/>
      <c r="J45" s="3"/>
      <c r="K45" s="3"/>
      <c r="L45" s="3"/>
      <c r="M45" s="3"/>
      <c r="N45" s="3"/>
      <c r="O45" s="3"/>
      <c r="P45" s="3"/>
      <c r="Q45" s="3"/>
      <c r="R45" s="3"/>
      <c r="S45" s="3"/>
      <c r="T45" s="3"/>
    </row>
    <row r="46" customFormat="false" ht="15" hidden="false" customHeight="false" outlineLevel="0" collapsed="false">
      <c r="A46" s="3"/>
      <c r="B46" s="3"/>
      <c r="C46" s="3"/>
      <c r="D46" s="3"/>
      <c r="E46" s="3"/>
      <c r="F46" s="3"/>
      <c r="G46" s="3"/>
      <c r="H46" s="3"/>
      <c r="I46" s="3"/>
      <c r="J46" s="3"/>
      <c r="K46" s="3"/>
      <c r="L46" s="3"/>
      <c r="M46" s="3"/>
      <c r="N46" s="3"/>
      <c r="O46" s="3"/>
      <c r="P46" s="3"/>
      <c r="Q46" s="3"/>
      <c r="R46" s="3"/>
      <c r="S46" s="3"/>
      <c r="T46" s="3"/>
    </row>
    <row r="47" customFormat="false" ht="15" hidden="false" customHeight="false" outlineLevel="0" collapsed="false">
      <c r="A47" s="3"/>
      <c r="B47" s="3"/>
      <c r="C47" s="3"/>
      <c r="D47" s="3"/>
      <c r="E47" s="3"/>
      <c r="F47" s="3"/>
      <c r="G47" s="3"/>
      <c r="H47" s="3"/>
      <c r="I47" s="3"/>
      <c r="J47" s="3"/>
      <c r="K47" s="3"/>
      <c r="L47" s="3"/>
      <c r="M47" s="3"/>
      <c r="N47" s="3"/>
      <c r="O47" s="3"/>
      <c r="P47" s="3"/>
      <c r="Q47" s="3"/>
      <c r="R47" s="3"/>
      <c r="S47" s="3"/>
      <c r="T47" s="3"/>
    </row>
    <row r="48" customFormat="false" ht="15" hidden="false" customHeight="false" outlineLevel="0" collapsed="false">
      <c r="A48" s="3"/>
      <c r="B48" s="3"/>
      <c r="C48" s="3"/>
      <c r="D48" s="3"/>
      <c r="E48" s="3"/>
      <c r="F48" s="3"/>
      <c r="G48" s="3"/>
      <c r="H48" s="3"/>
      <c r="I48" s="3"/>
      <c r="J48" s="3"/>
      <c r="K48" s="3"/>
      <c r="L48" s="3"/>
      <c r="M48" s="3"/>
      <c r="N48" s="3"/>
      <c r="O48" s="3"/>
      <c r="P48" s="3"/>
      <c r="Q48" s="3"/>
      <c r="R48" s="3"/>
      <c r="S48" s="3"/>
      <c r="T48" s="3"/>
    </row>
    <row r="49" customFormat="false" ht="15" hidden="false" customHeight="false" outlineLevel="0" collapsed="false">
      <c r="A49" s="3"/>
      <c r="B49" s="3"/>
      <c r="C49" s="3"/>
      <c r="D49" s="3"/>
      <c r="E49" s="3"/>
      <c r="F49" s="3"/>
      <c r="G49" s="3"/>
      <c r="H49" s="3"/>
      <c r="I49" s="3"/>
      <c r="J49" s="3"/>
      <c r="K49" s="3"/>
      <c r="L49" s="3"/>
      <c r="M49" s="3"/>
      <c r="N49" s="3"/>
      <c r="O49" s="3"/>
      <c r="P49" s="3"/>
      <c r="Q49" s="3"/>
      <c r="R49" s="3"/>
      <c r="S49" s="3"/>
      <c r="T49" s="3"/>
    </row>
    <row r="50" customFormat="false" ht="15" hidden="false" customHeight="false" outlineLevel="0" collapsed="false">
      <c r="A50" s="3"/>
      <c r="B50" s="3"/>
      <c r="C50" s="3"/>
      <c r="D50" s="3"/>
      <c r="E50" s="3"/>
      <c r="F50" s="3"/>
      <c r="G50" s="3"/>
      <c r="H50" s="3"/>
      <c r="I50" s="3"/>
      <c r="J50" s="3"/>
      <c r="K50" s="3"/>
      <c r="L50" s="3"/>
      <c r="M50" s="3"/>
      <c r="N50" s="3"/>
      <c r="O50" s="3"/>
      <c r="P50" s="3"/>
      <c r="Q50" s="3"/>
      <c r="R50" s="3"/>
      <c r="S50" s="3"/>
      <c r="T50" s="3"/>
    </row>
    <row r="51" customFormat="false" ht="15" hidden="false" customHeight="false" outlineLevel="0" collapsed="false">
      <c r="A51" s="3"/>
      <c r="B51" s="3"/>
      <c r="C51" s="3"/>
      <c r="D51" s="3"/>
      <c r="E51" s="3"/>
      <c r="F51" s="3"/>
      <c r="G51" s="3"/>
      <c r="H51" s="3"/>
      <c r="I51" s="3"/>
      <c r="J51" s="3"/>
      <c r="K51" s="3"/>
      <c r="L51" s="3"/>
      <c r="M51" s="3"/>
      <c r="N51" s="3"/>
      <c r="O51" s="3"/>
      <c r="P51" s="3"/>
      <c r="Q51" s="3"/>
      <c r="R51" s="3"/>
      <c r="S51" s="3"/>
      <c r="T51" s="3"/>
    </row>
    <row r="52" customFormat="false" ht="15" hidden="false" customHeight="false" outlineLevel="0" collapsed="false">
      <c r="A52" s="3"/>
      <c r="B52" s="3"/>
      <c r="C52" s="3"/>
      <c r="D52" s="3"/>
      <c r="E52" s="3"/>
      <c r="F52" s="3"/>
      <c r="G52" s="3"/>
      <c r="H52" s="3"/>
      <c r="I52" s="3"/>
      <c r="J52" s="3"/>
      <c r="K52" s="3"/>
      <c r="L52" s="3"/>
      <c r="M52" s="3"/>
      <c r="N52" s="3"/>
      <c r="O52" s="3"/>
      <c r="P52" s="3"/>
      <c r="Q52" s="3"/>
      <c r="R52" s="3"/>
      <c r="S52" s="3"/>
      <c r="T52" s="3"/>
    </row>
    <row r="53" customFormat="false" ht="15" hidden="false" customHeight="false" outlineLevel="0" collapsed="false">
      <c r="A53" s="3"/>
      <c r="B53" s="3"/>
      <c r="C53" s="3"/>
      <c r="D53" s="3"/>
      <c r="E53" s="3"/>
      <c r="F53" s="3"/>
      <c r="G53" s="3"/>
      <c r="H53" s="3"/>
      <c r="I53" s="3"/>
      <c r="J53" s="3"/>
      <c r="K53" s="3"/>
      <c r="L53" s="3"/>
      <c r="M53" s="3"/>
      <c r="N53" s="3"/>
      <c r="O53" s="3"/>
      <c r="P53" s="3"/>
      <c r="Q53" s="3"/>
      <c r="R53" s="3"/>
      <c r="S53" s="3"/>
      <c r="T53" s="3"/>
    </row>
    <row r="54" customFormat="false" ht="15" hidden="false" customHeight="false" outlineLevel="0" collapsed="false">
      <c r="A54" s="3"/>
      <c r="B54" s="3"/>
      <c r="C54" s="3"/>
      <c r="D54" s="3"/>
      <c r="E54" s="3"/>
      <c r="F54" s="3"/>
      <c r="G54" s="3"/>
      <c r="H54" s="3"/>
      <c r="I54" s="3"/>
      <c r="J54" s="3"/>
      <c r="K54" s="3"/>
      <c r="L54" s="3"/>
      <c r="M54" s="3"/>
      <c r="N54" s="3"/>
      <c r="O54" s="3"/>
      <c r="P54" s="3"/>
      <c r="Q54" s="3"/>
      <c r="R54" s="3"/>
      <c r="S54" s="3"/>
      <c r="T54" s="3"/>
    </row>
    <row r="55" customFormat="false" ht="15" hidden="false" customHeight="false" outlineLevel="0" collapsed="false">
      <c r="A55" s="3"/>
      <c r="B55" s="3"/>
      <c r="C55" s="3"/>
      <c r="D55" s="3"/>
      <c r="E55" s="3"/>
      <c r="F55" s="3"/>
      <c r="G55" s="3"/>
      <c r="H55" s="3"/>
      <c r="I55" s="3"/>
      <c r="J55" s="3"/>
      <c r="K55" s="3"/>
      <c r="L55" s="3"/>
      <c r="M55" s="3"/>
      <c r="N55" s="3"/>
      <c r="O55" s="3"/>
      <c r="P55" s="3"/>
      <c r="Q55" s="3"/>
      <c r="R55" s="3"/>
      <c r="S55" s="3"/>
      <c r="T55" s="3"/>
    </row>
    <row r="56" customFormat="false" ht="15" hidden="false" customHeight="false" outlineLevel="0" collapsed="false">
      <c r="A56" s="3"/>
      <c r="B56" s="3"/>
      <c r="C56" s="3"/>
      <c r="D56" s="3"/>
      <c r="E56" s="3"/>
      <c r="F56" s="3"/>
      <c r="G56" s="3"/>
      <c r="H56" s="3"/>
      <c r="I56" s="3"/>
      <c r="J56" s="3"/>
      <c r="K56" s="3"/>
      <c r="L56" s="3"/>
      <c r="M56" s="3"/>
      <c r="N56" s="3"/>
      <c r="O56" s="3"/>
      <c r="P56" s="3"/>
      <c r="Q56" s="3"/>
      <c r="R56" s="3"/>
      <c r="S56" s="3"/>
      <c r="T56" s="3"/>
    </row>
    <row r="57" customFormat="false" ht="15" hidden="false" customHeight="false" outlineLevel="0" collapsed="false">
      <c r="A57" s="3"/>
      <c r="B57" s="3"/>
      <c r="C57" s="3"/>
      <c r="D57" s="3"/>
      <c r="E57" s="3"/>
      <c r="F57" s="3"/>
      <c r="G57" s="3"/>
      <c r="H57" s="3"/>
      <c r="I57" s="3"/>
      <c r="J57" s="3"/>
      <c r="K57" s="3"/>
      <c r="L57" s="3"/>
      <c r="M57" s="3"/>
      <c r="N57" s="3"/>
      <c r="O57" s="3"/>
      <c r="P57" s="3"/>
      <c r="Q57" s="3"/>
      <c r="R57" s="3"/>
      <c r="S57" s="3"/>
      <c r="T57" s="3"/>
    </row>
    <row r="58" customFormat="false" ht="15" hidden="false" customHeight="false" outlineLevel="0" collapsed="false">
      <c r="A58" s="3"/>
      <c r="B58" s="3"/>
      <c r="C58" s="3"/>
      <c r="D58" s="3"/>
      <c r="E58" s="3"/>
      <c r="F58" s="3"/>
      <c r="G58" s="3"/>
      <c r="H58" s="3"/>
      <c r="I58" s="3"/>
      <c r="J58" s="3"/>
      <c r="K58" s="3"/>
      <c r="L58" s="3"/>
      <c r="M58" s="3"/>
      <c r="N58" s="3"/>
      <c r="O58" s="3"/>
      <c r="P58" s="3"/>
      <c r="Q58" s="3"/>
      <c r="R58" s="3"/>
      <c r="S58" s="3"/>
      <c r="T58" s="3"/>
    </row>
    <row r="59" customFormat="false" ht="15" hidden="false" customHeight="false" outlineLevel="0" collapsed="false">
      <c r="A59" s="3"/>
      <c r="B59" s="3"/>
      <c r="C59" s="3"/>
      <c r="D59" s="3"/>
      <c r="E59" s="3"/>
      <c r="F59" s="3"/>
      <c r="G59" s="3"/>
      <c r="H59" s="3"/>
      <c r="I59" s="3"/>
      <c r="J59" s="3"/>
      <c r="K59" s="3"/>
      <c r="L59" s="3"/>
      <c r="M59" s="3"/>
      <c r="N59" s="3"/>
      <c r="O59" s="3"/>
      <c r="P59" s="3"/>
      <c r="Q59" s="3"/>
      <c r="R59" s="3"/>
      <c r="S59" s="3"/>
      <c r="T59" s="3"/>
    </row>
  </sheetData>
  <mergeCells count="12">
    <mergeCell ref="A1:T2"/>
    <mergeCell ref="A3:T3"/>
    <mergeCell ref="A5:C5"/>
    <mergeCell ref="E5:G5"/>
    <mergeCell ref="I5:K5"/>
    <mergeCell ref="M5:O5"/>
    <mergeCell ref="Q5:S5"/>
    <mergeCell ref="A6:C7"/>
    <mergeCell ref="E6:G7"/>
    <mergeCell ref="I6:K7"/>
    <mergeCell ref="M6:O7"/>
    <mergeCell ref="Q6:S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60"/>
    <col collapsed="false" customWidth="true" hidden="false" outlineLevel="0" max="3" min="3" style="0" width="24"/>
    <col collapsed="false" customWidth="true" hidden="false" outlineLevel="0" max="4" min="4" style="0" width="32"/>
    <col collapsed="false" customWidth="true" hidden="false" outlineLevel="0" max="5" min="5" style="0" width="14"/>
    <col collapsed="false" customWidth="true" hidden="false" outlineLevel="0" max="6" min="6" style="0" width="16"/>
    <col collapsed="false" customWidth="true" hidden="false" outlineLevel="0" max="7" min="7" style="0" width="11"/>
    <col collapsed="false" customWidth="true" hidden="false" outlineLevel="0" max="8" min="8" style="0" width="9"/>
    <col collapsed="false" customWidth="true" hidden="false" outlineLevel="0" max="9" min="9" style="0" width="13"/>
    <col collapsed="false" customWidth="true" hidden="false" outlineLevel="0" max="10" min="10" style="0" width="16"/>
    <col collapsed="false" customWidth="true" hidden="false" outlineLevel="0" max="11" min="11" style="0" width="13"/>
    <col collapsed="false" customWidth="true" hidden="false" outlineLevel="0" max="12" min="12" style="0" width="12"/>
  </cols>
  <sheetData>
    <row r="1" customFormat="false" ht="31.5" hidden="false" customHeight="true" outlineLevel="0" collapsed="false">
      <c r="A1" s="9" t="s">
        <v>7</v>
      </c>
      <c r="B1" s="9" t="s">
        <v>8</v>
      </c>
      <c r="C1" s="9" t="s">
        <v>9</v>
      </c>
      <c r="D1" s="9" t="s">
        <v>10</v>
      </c>
      <c r="E1" s="9" t="s">
        <v>11</v>
      </c>
      <c r="F1" s="9" t="s">
        <v>12</v>
      </c>
      <c r="G1" s="9" t="s">
        <v>13</v>
      </c>
      <c r="H1" s="9" t="s">
        <v>14</v>
      </c>
      <c r="I1" s="9" t="s">
        <v>15</v>
      </c>
      <c r="J1" s="9" t="s">
        <v>16</v>
      </c>
      <c r="K1" s="9" t="s">
        <v>17</v>
      </c>
      <c r="L1" s="9" t="s">
        <v>18</v>
      </c>
    </row>
    <row r="2" customFormat="false" ht="15" hidden="false" customHeight="false" outlineLevel="0" collapsed="false">
      <c r="A2" s="10" t="s">
        <v>19</v>
      </c>
      <c r="B2" s="10" t="s">
        <v>20</v>
      </c>
      <c r="C2" s="10" t="s">
        <v>21</v>
      </c>
      <c r="D2" s="10" t="s">
        <v>22</v>
      </c>
      <c r="E2" s="11" t="n">
        <v>1099</v>
      </c>
      <c r="F2" s="11" t="n">
        <v>399</v>
      </c>
      <c r="G2" s="12" t="n">
        <v>0.64</v>
      </c>
      <c r="H2" s="13" t="n">
        <v>4.2</v>
      </c>
      <c r="I2" s="11" t="n">
        <v>24269</v>
      </c>
      <c r="J2" s="11" t="n">
        <f aca="false">E2-F2</f>
        <v>700</v>
      </c>
      <c r="K2" s="10" t="str">
        <f aca="false">IF(G2&lt;0.2,"0-19%",IF(G2&lt;0.4,"20-39%",IF(G2&lt;0.6,"40-59%",IF(G2&lt;0.8,"60-79%","80%+"))))</f>
        <v>60-79%</v>
      </c>
      <c r="L2" s="10" t="str">
        <f aca="false">IF(H2="","No rating",IF(H2&lt;3.5,"Below 3.5",IF(H2&lt;4,"3.5-3.9",IF(H2&lt;4.5,"4.0-4.4","4.5+"))))</f>
        <v>4.0-4.4</v>
      </c>
    </row>
    <row r="3" customFormat="false" ht="15" hidden="false" customHeight="false" outlineLevel="0" collapsed="false">
      <c r="A3" s="10" t="s">
        <v>23</v>
      </c>
      <c r="B3" s="10" t="s">
        <v>24</v>
      </c>
      <c r="C3" s="10" t="s">
        <v>21</v>
      </c>
      <c r="D3" s="10" t="s">
        <v>22</v>
      </c>
      <c r="E3" s="11" t="n">
        <v>349</v>
      </c>
      <c r="F3" s="11" t="n">
        <v>199</v>
      </c>
      <c r="G3" s="12" t="n">
        <v>0.43</v>
      </c>
      <c r="H3" s="13" t="n">
        <v>4</v>
      </c>
      <c r="I3" s="11" t="n">
        <v>43994</v>
      </c>
      <c r="J3" s="11" t="n">
        <f aca="false">E3-F3</f>
        <v>150</v>
      </c>
      <c r="K3" s="10" t="str">
        <f aca="false">IF(G3&lt;0.2,"0-19%",IF(G3&lt;0.4,"20-39%",IF(G3&lt;0.6,"40-59%",IF(G3&lt;0.8,"60-79%","80%+"))))</f>
        <v>40-59%</v>
      </c>
      <c r="L3" s="10" t="str">
        <f aca="false">IF(H3="","No rating",IF(H3&lt;3.5,"Below 3.5",IF(H3&lt;4,"3.5-3.9",IF(H3&lt;4.5,"4.0-4.4","4.5+"))))</f>
        <v>4.0-4.4</v>
      </c>
    </row>
    <row r="4" customFormat="false" ht="15" hidden="false" customHeight="false" outlineLevel="0" collapsed="false">
      <c r="A4" s="10" t="s">
        <v>25</v>
      </c>
      <c r="B4" s="10" t="s">
        <v>26</v>
      </c>
      <c r="C4" s="10" t="s">
        <v>21</v>
      </c>
      <c r="D4" s="10" t="s">
        <v>22</v>
      </c>
      <c r="E4" s="11" t="n">
        <v>1899</v>
      </c>
      <c r="F4" s="11" t="n">
        <v>199</v>
      </c>
      <c r="G4" s="12" t="n">
        <v>0.9</v>
      </c>
      <c r="H4" s="13" t="n">
        <v>3.9</v>
      </c>
      <c r="I4" s="11" t="n">
        <v>7928</v>
      </c>
      <c r="J4" s="11" t="n">
        <f aca="false">E4-F4</f>
        <v>1700</v>
      </c>
      <c r="K4" s="10" t="str">
        <f aca="false">IF(G4&lt;0.2,"0-19%",IF(G4&lt;0.4,"20-39%",IF(G4&lt;0.6,"40-59%",IF(G4&lt;0.8,"60-79%","80%+"))))</f>
        <v>80%+</v>
      </c>
      <c r="L4" s="10" t="str">
        <f aca="false">IF(H4="","No rating",IF(H4&lt;3.5,"Below 3.5",IF(H4&lt;4,"3.5-3.9",IF(H4&lt;4.5,"4.0-4.4","4.5+"))))</f>
        <v>3.5-3.9</v>
      </c>
    </row>
    <row r="5" customFormat="false" ht="15" hidden="false" customHeight="false" outlineLevel="0" collapsed="false">
      <c r="A5" s="10" t="s">
        <v>27</v>
      </c>
      <c r="B5" s="10" t="s">
        <v>28</v>
      </c>
      <c r="C5" s="10" t="s">
        <v>21</v>
      </c>
      <c r="D5" s="10" t="s">
        <v>22</v>
      </c>
      <c r="E5" s="11" t="n">
        <v>699</v>
      </c>
      <c r="F5" s="11" t="n">
        <v>329</v>
      </c>
      <c r="G5" s="12" t="n">
        <v>0.53</v>
      </c>
      <c r="H5" s="13" t="n">
        <v>4.2</v>
      </c>
      <c r="I5" s="11" t="n">
        <v>94363</v>
      </c>
      <c r="J5" s="11" t="n">
        <f aca="false">E5-F5</f>
        <v>370</v>
      </c>
      <c r="K5" s="10" t="str">
        <f aca="false">IF(G5&lt;0.2,"0-19%",IF(G5&lt;0.4,"20-39%",IF(G5&lt;0.6,"40-59%",IF(G5&lt;0.8,"60-79%","80%+"))))</f>
        <v>40-59%</v>
      </c>
      <c r="L5" s="10" t="str">
        <f aca="false">IF(H5="","No rating",IF(H5&lt;3.5,"Below 3.5",IF(H5&lt;4,"3.5-3.9",IF(H5&lt;4.5,"4.0-4.4","4.5+"))))</f>
        <v>4.0-4.4</v>
      </c>
    </row>
    <row r="6" customFormat="false" ht="15" hidden="false" customHeight="false" outlineLevel="0" collapsed="false">
      <c r="A6" s="10" t="s">
        <v>29</v>
      </c>
      <c r="B6" s="10" t="s">
        <v>30</v>
      </c>
      <c r="C6" s="10" t="s">
        <v>21</v>
      </c>
      <c r="D6" s="10" t="s">
        <v>22</v>
      </c>
      <c r="E6" s="11" t="n">
        <v>399</v>
      </c>
      <c r="F6" s="11" t="n">
        <v>154</v>
      </c>
      <c r="G6" s="12" t="n">
        <v>0.61</v>
      </c>
      <c r="H6" s="13" t="n">
        <v>4.2</v>
      </c>
      <c r="I6" s="11" t="n">
        <v>16905</v>
      </c>
      <c r="J6" s="11" t="n">
        <f aca="false">E6-F6</f>
        <v>245</v>
      </c>
      <c r="K6" s="10" t="str">
        <f aca="false">IF(G6&lt;0.2,"0-19%",IF(G6&lt;0.4,"20-39%",IF(G6&lt;0.6,"40-59%",IF(G6&lt;0.8,"60-79%","80%+"))))</f>
        <v>60-79%</v>
      </c>
      <c r="L6" s="10" t="str">
        <f aca="false">IF(H6="","No rating",IF(H6&lt;3.5,"Below 3.5",IF(H6&lt;4,"3.5-3.9",IF(H6&lt;4.5,"4.0-4.4","4.5+"))))</f>
        <v>4.0-4.4</v>
      </c>
    </row>
    <row r="7" customFormat="false" ht="15" hidden="false" customHeight="false" outlineLevel="0" collapsed="false">
      <c r="A7" s="10" t="s">
        <v>31</v>
      </c>
      <c r="B7" s="10" t="s">
        <v>32</v>
      </c>
      <c r="C7" s="10" t="s">
        <v>21</v>
      </c>
      <c r="D7" s="10" t="s">
        <v>22</v>
      </c>
      <c r="E7" s="11" t="n">
        <v>1000</v>
      </c>
      <c r="F7" s="11" t="n">
        <v>149</v>
      </c>
      <c r="G7" s="12" t="n">
        <v>0.85</v>
      </c>
      <c r="H7" s="13" t="n">
        <v>3.9</v>
      </c>
      <c r="I7" s="11" t="n">
        <v>24871</v>
      </c>
      <c r="J7" s="11" t="n">
        <f aca="false">E7-F7</f>
        <v>851</v>
      </c>
      <c r="K7" s="10" t="str">
        <f aca="false">IF(G7&lt;0.2,"0-19%",IF(G7&lt;0.4,"20-39%",IF(G7&lt;0.6,"40-59%",IF(G7&lt;0.8,"60-79%","80%+"))))</f>
        <v>80%+</v>
      </c>
      <c r="L7" s="10" t="str">
        <f aca="false">IF(H7="","No rating",IF(H7&lt;3.5,"Below 3.5",IF(H7&lt;4,"3.5-3.9",IF(H7&lt;4.5,"4.0-4.4","4.5+"))))</f>
        <v>3.5-3.9</v>
      </c>
    </row>
    <row r="8" customFormat="false" ht="15" hidden="false" customHeight="false" outlineLevel="0" collapsed="false">
      <c r="A8" s="10" t="s">
        <v>33</v>
      </c>
      <c r="B8" s="10" t="s">
        <v>34</v>
      </c>
      <c r="C8" s="10" t="s">
        <v>21</v>
      </c>
      <c r="D8" s="10" t="s">
        <v>22</v>
      </c>
      <c r="E8" s="11" t="n">
        <v>499</v>
      </c>
      <c r="F8" s="11" t="n">
        <v>176.63</v>
      </c>
      <c r="G8" s="12" t="n">
        <v>0.65</v>
      </c>
      <c r="H8" s="13" t="n">
        <v>4.1</v>
      </c>
      <c r="I8" s="11" t="n">
        <v>15188</v>
      </c>
      <c r="J8" s="11" t="n">
        <f aca="false">E8-F8</f>
        <v>322.37</v>
      </c>
      <c r="K8" s="10" t="str">
        <f aca="false">IF(G8&lt;0.2,"0-19%",IF(G8&lt;0.4,"20-39%",IF(G8&lt;0.6,"40-59%",IF(G8&lt;0.8,"60-79%","80%+"))))</f>
        <v>60-79%</v>
      </c>
      <c r="L8" s="10" t="str">
        <f aca="false">IF(H8="","No rating",IF(H8&lt;3.5,"Below 3.5",IF(H8&lt;4,"3.5-3.9",IF(H8&lt;4.5,"4.0-4.4","4.5+"))))</f>
        <v>4.0-4.4</v>
      </c>
    </row>
    <row r="9" customFormat="false" ht="15" hidden="false" customHeight="false" outlineLevel="0" collapsed="false">
      <c r="A9" s="10" t="s">
        <v>35</v>
      </c>
      <c r="B9" s="10" t="s">
        <v>36</v>
      </c>
      <c r="C9" s="10" t="s">
        <v>21</v>
      </c>
      <c r="D9" s="10" t="s">
        <v>22</v>
      </c>
      <c r="E9" s="11" t="n">
        <v>299</v>
      </c>
      <c r="F9" s="11" t="n">
        <v>229</v>
      </c>
      <c r="G9" s="12" t="n">
        <v>0.23</v>
      </c>
      <c r="H9" s="13" t="n">
        <v>4.3</v>
      </c>
      <c r="I9" s="11" t="n">
        <v>30411</v>
      </c>
      <c r="J9" s="11" t="n">
        <f aca="false">E9-F9</f>
        <v>70</v>
      </c>
      <c r="K9" s="10" t="str">
        <f aca="false">IF(G9&lt;0.2,"0-19%",IF(G9&lt;0.4,"20-39%",IF(G9&lt;0.6,"40-59%",IF(G9&lt;0.8,"60-79%","80%+"))))</f>
        <v>20-39%</v>
      </c>
      <c r="L9" s="10" t="str">
        <f aca="false">IF(H9="","No rating",IF(H9&lt;3.5,"Below 3.5",IF(H9&lt;4,"3.5-3.9",IF(H9&lt;4.5,"4.0-4.4","4.5+"))))</f>
        <v>4.0-4.4</v>
      </c>
    </row>
    <row r="10" customFormat="false" ht="15" hidden="false" customHeight="false" outlineLevel="0" collapsed="false">
      <c r="A10" s="10" t="s">
        <v>37</v>
      </c>
      <c r="B10" s="10" t="s">
        <v>38</v>
      </c>
      <c r="C10" s="10" t="s">
        <v>21</v>
      </c>
      <c r="D10" s="10" t="s">
        <v>39</v>
      </c>
      <c r="E10" s="11" t="n">
        <v>999</v>
      </c>
      <c r="F10" s="11" t="n">
        <v>499</v>
      </c>
      <c r="G10" s="12" t="n">
        <v>0.5</v>
      </c>
      <c r="H10" s="13" t="n">
        <v>4.2</v>
      </c>
      <c r="I10" s="11" t="n">
        <v>179691</v>
      </c>
      <c r="J10" s="11" t="n">
        <f aca="false">E10-F10</f>
        <v>500</v>
      </c>
      <c r="K10" s="10" t="str">
        <f aca="false">IF(G10&lt;0.2,"0-19%",IF(G10&lt;0.4,"20-39%",IF(G10&lt;0.6,"40-59%",IF(G10&lt;0.8,"60-79%","80%+"))))</f>
        <v>40-59%</v>
      </c>
      <c r="L10" s="10" t="str">
        <f aca="false">IF(H10="","No rating",IF(H10&lt;3.5,"Below 3.5",IF(H10&lt;4,"3.5-3.9",IF(H10&lt;4.5,"4.0-4.4","4.5+"))))</f>
        <v>4.0-4.4</v>
      </c>
    </row>
    <row r="11" customFormat="false" ht="15" hidden="false" customHeight="false" outlineLevel="0" collapsed="false">
      <c r="A11" s="10" t="s">
        <v>40</v>
      </c>
      <c r="B11" s="10" t="s">
        <v>41</v>
      </c>
      <c r="C11" s="10" t="s">
        <v>21</v>
      </c>
      <c r="D11" s="10" t="s">
        <v>22</v>
      </c>
      <c r="E11" s="11" t="n">
        <v>299</v>
      </c>
      <c r="F11" s="11" t="n">
        <v>199</v>
      </c>
      <c r="G11" s="12" t="n">
        <v>0.33</v>
      </c>
      <c r="H11" s="13" t="n">
        <v>4</v>
      </c>
      <c r="I11" s="11" t="n">
        <v>43994</v>
      </c>
      <c r="J11" s="11" t="n">
        <f aca="false">E11-F11</f>
        <v>100</v>
      </c>
      <c r="K11" s="10" t="str">
        <f aca="false">IF(G11&lt;0.2,"0-19%",IF(G11&lt;0.4,"20-39%",IF(G11&lt;0.6,"40-59%",IF(G11&lt;0.8,"60-79%","80%+"))))</f>
        <v>20-39%</v>
      </c>
      <c r="L11" s="10" t="str">
        <f aca="false">IF(H11="","No rating",IF(H11&lt;3.5,"Below 3.5",IF(H11&lt;4,"3.5-3.9",IF(H11&lt;4.5,"4.0-4.4","4.5+"))))</f>
        <v>4.0-4.4</v>
      </c>
    </row>
    <row r="12" customFormat="false" ht="15" hidden="false" customHeight="false" outlineLevel="0" collapsed="false">
      <c r="A12" s="10" t="s">
        <v>42</v>
      </c>
      <c r="B12" s="10" t="s">
        <v>43</v>
      </c>
      <c r="C12" s="10" t="s">
        <v>21</v>
      </c>
      <c r="D12" s="10" t="s">
        <v>22</v>
      </c>
      <c r="E12" s="11" t="n">
        <v>339</v>
      </c>
      <c r="F12" s="11" t="n">
        <v>154</v>
      </c>
      <c r="G12" s="12" t="n">
        <v>0.55</v>
      </c>
      <c r="H12" s="13" t="n">
        <v>4.3</v>
      </c>
      <c r="I12" s="11" t="n">
        <v>13391</v>
      </c>
      <c r="J12" s="11" t="n">
        <f aca="false">E12-F12</f>
        <v>185</v>
      </c>
      <c r="K12" s="10" t="str">
        <f aca="false">IF(G12&lt;0.2,"0-19%",IF(G12&lt;0.4,"20-39%",IF(G12&lt;0.6,"40-59%",IF(G12&lt;0.8,"60-79%","80%+"))))</f>
        <v>40-59%</v>
      </c>
      <c r="L12" s="10" t="str">
        <f aca="false">IF(H12="","No rating",IF(H12&lt;3.5,"Below 3.5",IF(H12&lt;4,"3.5-3.9",IF(H12&lt;4.5,"4.0-4.4","4.5+"))))</f>
        <v>4.0-4.4</v>
      </c>
    </row>
    <row r="13" customFormat="false" ht="15" hidden="false" customHeight="false" outlineLevel="0" collapsed="false">
      <c r="A13" s="10" t="s">
        <v>44</v>
      </c>
      <c r="B13" s="10" t="s">
        <v>45</v>
      </c>
      <c r="C13" s="10" t="s">
        <v>21</v>
      </c>
      <c r="D13" s="10" t="s">
        <v>22</v>
      </c>
      <c r="E13" s="11" t="n">
        <v>799</v>
      </c>
      <c r="F13" s="11" t="n">
        <v>299</v>
      </c>
      <c r="G13" s="12" t="n">
        <v>0.63</v>
      </c>
      <c r="H13" s="13" t="n">
        <v>4.2</v>
      </c>
      <c r="I13" s="11" t="n">
        <v>94363</v>
      </c>
      <c r="J13" s="11" t="n">
        <f aca="false">E13-F13</f>
        <v>500</v>
      </c>
      <c r="K13" s="10" t="str">
        <f aca="false">IF(G13&lt;0.2,"0-19%",IF(G13&lt;0.4,"20-39%",IF(G13&lt;0.6,"40-59%",IF(G13&lt;0.8,"60-79%","80%+"))))</f>
        <v>60-79%</v>
      </c>
      <c r="L13" s="10" t="str">
        <f aca="false">IF(H13="","No rating",IF(H13&lt;3.5,"Below 3.5",IF(H13&lt;4,"3.5-3.9",IF(H13&lt;4.5,"4.0-4.4","4.5+"))))</f>
        <v>4.0-4.4</v>
      </c>
    </row>
    <row r="14" customFormat="false" ht="15" hidden="false" customHeight="false" outlineLevel="0" collapsed="false">
      <c r="A14" s="10" t="s">
        <v>46</v>
      </c>
      <c r="B14" s="10" t="s">
        <v>47</v>
      </c>
      <c r="C14" s="10" t="s">
        <v>48</v>
      </c>
      <c r="D14" s="10" t="s">
        <v>49</v>
      </c>
      <c r="E14" s="11" t="n">
        <v>700</v>
      </c>
      <c r="F14" s="11" t="n">
        <v>219</v>
      </c>
      <c r="G14" s="12" t="n">
        <v>0.69</v>
      </c>
      <c r="H14" s="13" t="n">
        <v>4.4</v>
      </c>
      <c r="I14" s="11" t="n">
        <v>426973</v>
      </c>
      <c r="J14" s="11" t="n">
        <f aca="false">E14-F14</f>
        <v>481</v>
      </c>
      <c r="K14" s="10" t="str">
        <f aca="false">IF(G14&lt;0.2,"0-19%",IF(G14&lt;0.4,"20-39%",IF(G14&lt;0.6,"40-59%",IF(G14&lt;0.8,"60-79%","80%+"))))</f>
        <v>60-79%</v>
      </c>
      <c r="L14" s="10" t="str">
        <f aca="false">IF(H14="","No rating",IF(H14&lt;3.5,"Below 3.5",IF(H14&lt;4,"3.5-3.9",IF(H14&lt;4.5,"4.0-4.4","4.5+"))))</f>
        <v>4.0-4.4</v>
      </c>
    </row>
    <row r="15" customFormat="false" ht="15" hidden="false" customHeight="false" outlineLevel="0" collapsed="false">
      <c r="A15" s="10" t="s">
        <v>50</v>
      </c>
      <c r="B15" s="10" t="s">
        <v>51</v>
      </c>
      <c r="C15" s="10" t="s">
        <v>21</v>
      </c>
      <c r="D15" s="10" t="s">
        <v>22</v>
      </c>
      <c r="E15" s="11" t="n">
        <v>899</v>
      </c>
      <c r="F15" s="11" t="n">
        <v>350</v>
      </c>
      <c r="G15" s="12" t="n">
        <v>0.61</v>
      </c>
      <c r="H15" s="13" t="n">
        <v>4.2</v>
      </c>
      <c r="I15" s="11" t="n">
        <v>2262</v>
      </c>
      <c r="J15" s="11" t="n">
        <f aca="false">E15-F15</f>
        <v>549</v>
      </c>
      <c r="K15" s="10" t="str">
        <f aca="false">IF(G15&lt;0.2,"0-19%",IF(G15&lt;0.4,"20-39%",IF(G15&lt;0.6,"40-59%",IF(G15&lt;0.8,"60-79%","80%+"))))</f>
        <v>60-79%</v>
      </c>
      <c r="L15" s="10" t="str">
        <f aca="false">IF(H15="","No rating",IF(H15&lt;3.5,"Below 3.5",IF(H15&lt;4,"3.5-3.9",IF(H15&lt;4.5,"4.0-4.4","4.5+"))))</f>
        <v>4.0-4.4</v>
      </c>
    </row>
    <row r="16" customFormat="false" ht="15" hidden="false" customHeight="false" outlineLevel="0" collapsed="false">
      <c r="A16" s="10" t="s">
        <v>52</v>
      </c>
      <c r="B16" s="10" t="s">
        <v>53</v>
      </c>
      <c r="C16" s="10" t="s">
        <v>21</v>
      </c>
      <c r="D16" s="10" t="s">
        <v>22</v>
      </c>
      <c r="E16" s="11" t="n">
        <v>399</v>
      </c>
      <c r="F16" s="11" t="n">
        <v>159</v>
      </c>
      <c r="G16" s="12" t="n">
        <v>0.6</v>
      </c>
      <c r="H16" s="13" t="n">
        <v>4.1</v>
      </c>
      <c r="I16" s="11" t="n">
        <v>4768</v>
      </c>
      <c r="J16" s="11" t="n">
        <f aca="false">E16-F16</f>
        <v>240</v>
      </c>
      <c r="K16" s="10" t="str">
        <f aca="false">IF(G16&lt;0.2,"0-19%",IF(G16&lt;0.4,"20-39%",IF(G16&lt;0.6,"40-59%",IF(G16&lt;0.8,"60-79%","80%+"))))</f>
        <v>60-79%</v>
      </c>
      <c r="L16" s="10" t="str">
        <f aca="false">IF(H16="","No rating",IF(H16&lt;3.5,"Below 3.5",IF(H16&lt;4,"3.5-3.9",IF(H16&lt;4.5,"4.0-4.4","4.5+"))))</f>
        <v>4.0-4.4</v>
      </c>
    </row>
    <row r="17" customFormat="false" ht="15" hidden="false" customHeight="false" outlineLevel="0" collapsed="false">
      <c r="A17" s="10" t="s">
        <v>54</v>
      </c>
      <c r="B17" s="10" t="s">
        <v>55</v>
      </c>
      <c r="C17" s="10" t="s">
        <v>21</v>
      </c>
      <c r="D17" s="10" t="s">
        <v>22</v>
      </c>
      <c r="E17" s="11" t="n">
        <v>399</v>
      </c>
      <c r="F17" s="11" t="n">
        <v>349</v>
      </c>
      <c r="G17" s="12" t="n">
        <v>0.13</v>
      </c>
      <c r="H17" s="13" t="n">
        <v>4.4</v>
      </c>
      <c r="I17" s="11" t="n">
        <v>18757</v>
      </c>
      <c r="J17" s="11" t="n">
        <f aca="false">E17-F17</f>
        <v>50</v>
      </c>
      <c r="K17" s="10" t="str">
        <f aca="false">IF(G17&lt;0.2,"0-19%",IF(G17&lt;0.4,"20-39%",IF(G17&lt;0.6,"40-59%",IF(G17&lt;0.8,"60-79%","80%+"))))</f>
        <v>0-19%</v>
      </c>
      <c r="L17" s="10" t="str">
        <f aca="false">IF(H17="","No rating",IF(H17&lt;3.5,"Below 3.5",IF(H17&lt;4,"3.5-3.9",IF(H17&lt;4.5,"4.0-4.4","4.5+"))))</f>
        <v>4.0-4.4</v>
      </c>
    </row>
    <row r="18" customFormat="false" ht="15" hidden="false" customHeight="false" outlineLevel="0" collapsed="false">
      <c r="A18" s="10" t="s">
        <v>56</v>
      </c>
      <c r="B18" s="10" t="s">
        <v>57</v>
      </c>
      <c r="C18" s="10" t="s">
        <v>48</v>
      </c>
      <c r="D18" s="10" t="s">
        <v>49</v>
      </c>
      <c r="E18" s="11" t="n">
        <v>24999</v>
      </c>
      <c r="F18" s="11" t="n">
        <v>13999</v>
      </c>
      <c r="G18" s="12" t="n">
        <v>0.44</v>
      </c>
      <c r="H18" s="13" t="n">
        <v>4.2</v>
      </c>
      <c r="I18" s="11" t="n">
        <v>32840</v>
      </c>
      <c r="J18" s="11" t="n">
        <f aca="false">E18-F18</f>
        <v>11000</v>
      </c>
      <c r="K18" s="10" t="str">
        <f aca="false">IF(G18&lt;0.2,"0-19%",IF(G18&lt;0.4,"20-39%",IF(G18&lt;0.6,"40-59%",IF(G18&lt;0.8,"60-79%","80%+"))))</f>
        <v>40-59%</v>
      </c>
      <c r="L18" s="10" t="str">
        <f aca="false">IF(H18="","No rating",IF(H18&lt;3.5,"Below 3.5",IF(H18&lt;4,"3.5-3.9",IF(H18&lt;4.5,"4.0-4.4","4.5+"))))</f>
        <v>4.0-4.4</v>
      </c>
    </row>
    <row r="19" customFormat="false" ht="15" hidden="false" customHeight="false" outlineLevel="0" collapsed="false">
      <c r="A19" s="10" t="s">
        <v>58</v>
      </c>
      <c r="B19" s="10" t="s">
        <v>59</v>
      </c>
      <c r="C19" s="10" t="s">
        <v>21</v>
      </c>
      <c r="D19" s="10" t="s">
        <v>22</v>
      </c>
      <c r="E19" s="11" t="n">
        <v>399</v>
      </c>
      <c r="F19" s="11" t="n">
        <v>249</v>
      </c>
      <c r="G19" s="12" t="n">
        <v>0.38</v>
      </c>
      <c r="H19" s="13" t="n">
        <v>4</v>
      </c>
      <c r="I19" s="11" t="n">
        <v>43994</v>
      </c>
      <c r="J19" s="11" t="n">
        <f aca="false">E19-F19</f>
        <v>150</v>
      </c>
      <c r="K19" s="10" t="str">
        <f aca="false">IF(G19&lt;0.2,"0-19%",IF(G19&lt;0.4,"20-39%",IF(G19&lt;0.6,"40-59%",IF(G19&lt;0.8,"60-79%","80%+"))))</f>
        <v>20-39%</v>
      </c>
      <c r="L19" s="10" t="str">
        <f aca="false">IF(H19="","No rating",IF(H19&lt;3.5,"Below 3.5",IF(H19&lt;4,"3.5-3.9",IF(H19&lt;4.5,"4.0-4.4","4.5+"))))</f>
        <v>4.0-4.4</v>
      </c>
    </row>
    <row r="20" customFormat="false" ht="15" hidden="false" customHeight="false" outlineLevel="0" collapsed="false">
      <c r="A20" s="10" t="s">
        <v>60</v>
      </c>
      <c r="B20" s="10" t="s">
        <v>61</v>
      </c>
      <c r="C20" s="10" t="s">
        <v>21</v>
      </c>
      <c r="D20" s="10" t="s">
        <v>22</v>
      </c>
      <c r="E20" s="11" t="n">
        <v>499</v>
      </c>
      <c r="F20" s="11" t="n">
        <v>199</v>
      </c>
      <c r="G20" s="12" t="n">
        <v>0.6</v>
      </c>
      <c r="H20" s="13" t="n">
        <v>4.1</v>
      </c>
      <c r="I20" s="11" t="n">
        <v>13045</v>
      </c>
      <c r="J20" s="11" t="n">
        <f aca="false">E20-F20</f>
        <v>300</v>
      </c>
      <c r="K20" s="10" t="str">
        <f aca="false">IF(G20&lt;0.2,"0-19%",IF(G20&lt;0.4,"20-39%",IF(G20&lt;0.6,"40-59%",IF(G20&lt;0.8,"60-79%","80%+"))))</f>
        <v>60-79%</v>
      </c>
      <c r="L20" s="10" t="str">
        <f aca="false">IF(H20="","No rating",IF(H20&lt;3.5,"Below 3.5",IF(H20&lt;4,"3.5-3.9",IF(H20&lt;4.5,"4.0-4.4","4.5+"))))</f>
        <v>4.0-4.4</v>
      </c>
    </row>
    <row r="21" customFormat="false" ht="15" hidden="false" customHeight="false" outlineLevel="0" collapsed="false">
      <c r="A21" s="10" t="s">
        <v>62</v>
      </c>
      <c r="B21" s="10" t="s">
        <v>63</v>
      </c>
      <c r="C21" s="10" t="s">
        <v>48</v>
      </c>
      <c r="D21" s="10" t="s">
        <v>49</v>
      </c>
      <c r="E21" s="11" t="n">
        <v>21990</v>
      </c>
      <c r="F21" s="11" t="n">
        <v>13490</v>
      </c>
      <c r="G21" s="12" t="n">
        <v>0.39</v>
      </c>
      <c r="H21" s="13" t="n">
        <v>4.3</v>
      </c>
      <c r="I21" s="11" t="n">
        <v>11976</v>
      </c>
      <c r="J21" s="11" t="n">
        <f aca="false">E21-F21</f>
        <v>8500</v>
      </c>
      <c r="K21" s="10" t="str">
        <f aca="false">IF(G21&lt;0.2,"0-19%",IF(G21&lt;0.4,"20-39%",IF(G21&lt;0.6,"40-59%",IF(G21&lt;0.8,"60-79%","80%+"))))</f>
        <v>20-39%</v>
      </c>
      <c r="L21" s="10" t="str">
        <f aca="false">IF(H21="","No rating",IF(H21&lt;3.5,"Below 3.5",IF(H21&lt;4,"3.5-3.9",IF(H21&lt;4.5,"4.0-4.4","4.5+"))))</f>
        <v>4.0-4.4</v>
      </c>
    </row>
    <row r="22" customFormat="false" ht="15" hidden="false" customHeight="false" outlineLevel="0" collapsed="false">
      <c r="A22" s="10" t="s">
        <v>64</v>
      </c>
      <c r="B22" s="10" t="s">
        <v>65</v>
      </c>
      <c r="C22" s="10" t="s">
        <v>21</v>
      </c>
      <c r="D22" s="10" t="s">
        <v>22</v>
      </c>
      <c r="E22" s="11" t="n">
        <v>1799</v>
      </c>
      <c r="F22" s="11" t="n">
        <v>970</v>
      </c>
      <c r="G22" s="12" t="n">
        <v>0.46</v>
      </c>
      <c r="H22" s="13" t="n">
        <v>4.5</v>
      </c>
      <c r="I22" s="11" t="n">
        <v>815</v>
      </c>
      <c r="J22" s="11" t="n">
        <f aca="false">E22-F22</f>
        <v>829</v>
      </c>
      <c r="K22" s="10" t="str">
        <f aca="false">IF(G22&lt;0.2,"0-19%",IF(G22&lt;0.4,"20-39%",IF(G22&lt;0.6,"40-59%",IF(G22&lt;0.8,"60-79%","80%+"))))</f>
        <v>40-59%</v>
      </c>
      <c r="L22" s="10" t="str">
        <f aca="false">IF(H22="","No rating",IF(H22&lt;3.5,"Below 3.5",IF(H22&lt;4,"3.5-3.9",IF(H22&lt;4.5,"4.0-4.4","4.5+"))))</f>
        <v>4.5+</v>
      </c>
    </row>
    <row r="23" customFormat="false" ht="15" hidden="false" customHeight="false" outlineLevel="0" collapsed="false">
      <c r="A23" s="10" t="s">
        <v>66</v>
      </c>
      <c r="B23" s="10" t="s">
        <v>67</v>
      </c>
      <c r="C23" s="10" t="s">
        <v>48</v>
      </c>
      <c r="D23" s="10" t="s">
        <v>49</v>
      </c>
      <c r="E23" s="11" t="n">
        <v>499</v>
      </c>
      <c r="F23" s="11" t="n">
        <v>279</v>
      </c>
      <c r="G23" s="12" t="n">
        <v>0.44</v>
      </c>
      <c r="H23" s="13" t="n">
        <v>3.7</v>
      </c>
      <c r="I23" s="11" t="n">
        <v>10962</v>
      </c>
      <c r="J23" s="11" t="n">
        <f aca="false">E23-F23</f>
        <v>220</v>
      </c>
      <c r="K23" s="10" t="str">
        <f aca="false">IF(G23&lt;0.2,"0-19%",IF(G23&lt;0.4,"20-39%",IF(G23&lt;0.6,"40-59%",IF(G23&lt;0.8,"60-79%","80%+"))))</f>
        <v>40-59%</v>
      </c>
      <c r="L23" s="10" t="str">
        <f aca="false">IF(H23="","No rating",IF(H23&lt;3.5,"Below 3.5",IF(H23&lt;4,"3.5-3.9",IF(H23&lt;4.5,"4.0-4.4","4.5+"))))</f>
        <v>3.5-3.9</v>
      </c>
    </row>
    <row r="24" customFormat="false" ht="15" hidden="false" customHeight="false" outlineLevel="0" collapsed="false">
      <c r="A24" s="10" t="s">
        <v>68</v>
      </c>
      <c r="B24" s="10" t="s">
        <v>69</v>
      </c>
      <c r="C24" s="10" t="s">
        <v>48</v>
      </c>
      <c r="D24" s="10" t="s">
        <v>49</v>
      </c>
      <c r="E24" s="11" t="n">
        <v>22900</v>
      </c>
      <c r="F24" s="11" t="n">
        <v>13490</v>
      </c>
      <c r="G24" s="12" t="n">
        <v>0.41</v>
      </c>
      <c r="H24" s="13" t="n">
        <v>4.3</v>
      </c>
      <c r="I24" s="11" t="n">
        <v>16299</v>
      </c>
      <c r="J24" s="11" t="n">
        <f aca="false">E24-F24</f>
        <v>9410</v>
      </c>
      <c r="K24" s="10" t="str">
        <f aca="false">IF(G24&lt;0.2,"0-19%",IF(G24&lt;0.4,"20-39%",IF(G24&lt;0.6,"40-59%",IF(G24&lt;0.8,"60-79%","80%+"))))</f>
        <v>40-59%</v>
      </c>
      <c r="L24" s="10" t="str">
        <f aca="false">IF(H24="","No rating",IF(H24&lt;3.5,"Below 3.5",IF(H24&lt;4,"3.5-3.9",IF(H24&lt;4.5,"4.0-4.4","4.5+"))))</f>
        <v>4.0-4.4</v>
      </c>
    </row>
    <row r="25" customFormat="false" ht="15" hidden="false" customHeight="false" outlineLevel="0" collapsed="false">
      <c r="A25" s="10" t="s">
        <v>70</v>
      </c>
      <c r="B25" s="10" t="s">
        <v>71</v>
      </c>
      <c r="C25" s="10" t="s">
        <v>21</v>
      </c>
      <c r="D25" s="10" t="s">
        <v>22</v>
      </c>
      <c r="E25" s="11" t="n">
        <v>199</v>
      </c>
      <c r="F25" s="11" t="n">
        <v>59</v>
      </c>
      <c r="G25" s="12" t="n">
        <v>0.7</v>
      </c>
      <c r="H25" s="13" t="n">
        <v>4</v>
      </c>
      <c r="I25" s="11" t="n">
        <v>9378</v>
      </c>
      <c r="J25" s="11" t="n">
        <f aca="false">E25-F25</f>
        <v>140</v>
      </c>
      <c r="K25" s="10" t="str">
        <f aca="false">IF(G25&lt;0.2,"0-19%",IF(G25&lt;0.4,"20-39%",IF(G25&lt;0.6,"40-59%",IF(G25&lt;0.8,"60-79%","80%+"))))</f>
        <v>60-79%</v>
      </c>
      <c r="L25" s="10" t="str">
        <f aca="false">IF(H25="","No rating",IF(H25&lt;3.5,"Below 3.5",IF(H25&lt;4,"3.5-3.9",IF(H25&lt;4.5,"4.0-4.4","4.5+"))))</f>
        <v>4.0-4.4</v>
      </c>
    </row>
    <row r="26" customFormat="false" ht="15" hidden="false" customHeight="false" outlineLevel="0" collapsed="false">
      <c r="A26" s="10" t="s">
        <v>72</v>
      </c>
      <c r="B26" s="10" t="s">
        <v>73</v>
      </c>
      <c r="C26" s="10" t="s">
        <v>48</v>
      </c>
      <c r="D26" s="10" t="s">
        <v>49</v>
      </c>
      <c r="E26" s="11" t="n">
        <v>19990</v>
      </c>
      <c r="F26" s="11" t="n">
        <v>11499</v>
      </c>
      <c r="G26" s="12" t="n">
        <v>0.42</v>
      </c>
      <c r="H26" s="13" t="n">
        <v>4.3</v>
      </c>
      <c r="I26" s="11" t="n">
        <v>4703</v>
      </c>
      <c r="J26" s="11" t="n">
        <f aca="false">E26-F26</f>
        <v>8491</v>
      </c>
      <c r="K26" s="10" t="str">
        <f aca="false">IF(G26&lt;0.2,"0-19%",IF(G26&lt;0.4,"20-39%",IF(G26&lt;0.6,"40-59%",IF(G26&lt;0.8,"60-79%","80%+"))))</f>
        <v>40-59%</v>
      </c>
      <c r="L26" s="10" t="str">
        <f aca="false">IF(H26="","No rating",IF(H26&lt;3.5,"Below 3.5",IF(H26&lt;4,"3.5-3.9",IF(H26&lt;4.5,"4.0-4.4","4.5+"))))</f>
        <v>4.0-4.4</v>
      </c>
    </row>
    <row r="27" customFormat="false" ht="15" hidden="false" customHeight="false" outlineLevel="0" collapsed="false">
      <c r="A27" s="10" t="s">
        <v>74</v>
      </c>
      <c r="B27" s="10" t="s">
        <v>75</v>
      </c>
      <c r="C27" s="10" t="s">
        <v>48</v>
      </c>
      <c r="D27" s="10" t="s">
        <v>49</v>
      </c>
      <c r="E27" s="11" t="n">
        <v>699</v>
      </c>
      <c r="F27" s="11" t="n">
        <v>199</v>
      </c>
      <c r="G27" s="12" t="n">
        <v>0.72</v>
      </c>
      <c r="H27" s="13" t="n">
        <v>4.2</v>
      </c>
      <c r="I27" s="11" t="n">
        <v>12153</v>
      </c>
      <c r="J27" s="11" t="n">
        <f aca="false">E27-F27</f>
        <v>500</v>
      </c>
      <c r="K27" s="10" t="str">
        <f aca="false">IF(G27&lt;0.2,"0-19%",IF(G27&lt;0.4,"20-39%",IF(G27&lt;0.6,"40-59%",IF(G27&lt;0.8,"60-79%","80%+"))))</f>
        <v>60-79%</v>
      </c>
      <c r="L27" s="10" t="str">
        <f aca="false">IF(H27="","No rating",IF(H27&lt;3.5,"Below 3.5",IF(H27&lt;4,"3.5-3.9",IF(H27&lt;4.5,"4.0-4.4","4.5+"))))</f>
        <v>4.0-4.4</v>
      </c>
    </row>
    <row r="28" customFormat="false" ht="15" hidden="false" customHeight="false" outlineLevel="0" collapsed="false">
      <c r="A28" s="10" t="s">
        <v>76</v>
      </c>
      <c r="B28" s="10" t="s">
        <v>77</v>
      </c>
      <c r="C28" s="10" t="s">
        <v>48</v>
      </c>
      <c r="D28" s="10" t="s">
        <v>49</v>
      </c>
      <c r="E28" s="11" t="n">
        <v>19999</v>
      </c>
      <c r="F28" s="11" t="n">
        <v>14999</v>
      </c>
      <c r="G28" s="12" t="n">
        <v>0.25</v>
      </c>
      <c r="H28" s="13" t="n">
        <v>4.2</v>
      </c>
      <c r="I28" s="11" t="n">
        <v>34899</v>
      </c>
      <c r="J28" s="11" t="n">
        <f aca="false">E28-F28</f>
        <v>5000</v>
      </c>
      <c r="K28" s="10" t="str">
        <f aca="false">IF(G28&lt;0.2,"0-19%",IF(G28&lt;0.4,"20-39%",IF(G28&lt;0.6,"40-59%",IF(G28&lt;0.8,"60-79%","80%+"))))</f>
        <v>20-39%</v>
      </c>
      <c r="L28" s="10" t="str">
        <f aca="false">IF(H28="","No rating",IF(H28&lt;3.5,"Below 3.5",IF(H28&lt;4,"3.5-3.9",IF(H28&lt;4.5,"4.0-4.4","4.5+"))))</f>
        <v>4.0-4.4</v>
      </c>
    </row>
    <row r="29" customFormat="false" ht="15" hidden="false" customHeight="false" outlineLevel="0" collapsed="false">
      <c r="A29" s="10" t="s">
        <v>78</v>
      </c>
      <c r="B29" s="10" t="s">
        <v>79</v>
      </c>
      <c r="C29" s="10" t="s">
        <v>21</v>
      </c>
      <c r="D29" s="10" t="s">
        <v>22</v>
      </c>
      <c r="E29" s="11" t="n">
        <v>399</v>
      </c>
      <c r="F29" s="11" t="n">
        <v>299</v>
      </c>
      <c r="G29" s="12" t="n">
        <v>0.25</v>
      </c>
      <c r="H29" s="13" t="n">
        <v>4</v>
      </c>
      <c r="I29" s="11" t="n">
        <v>2766</v>
      </c>
      <c r="J29" s="11" t="n">
        <f aca="false">E29-F29</f>
        <v>100</v>
      </c>
      <c r="K29" s="10" t="str">
        <f aca="false">IF(G29&lt;0.2,"0-19%",IF(G29&lt;0.4,"20-39%",IF(G29&lt;0.6,"40-59%",IF(G29&lt;0.8,"60-79%","80%+"))))</f>
        <v>20-39%</v>
      </c>
      <c r="L29" s="10" t="str">
        <f aca="false">IF(H29="","No rating",IF(H29&lt;3.5,"Below 3.5",IF(H29&lt;4,"3.5-3.9",IF(H29&lt;4.5,"4.0-4.4","4.5+"))))</f>
        <v>4.0-4.4</v>
      </c>
    </row>
    <row r="30" customFormat="false" ht="15" hidden="false" customHeight="false" outlineLevel="0" collapsed="false">
      <c r="A30" s="10" t="s">
        <v>80</v>
      </c>
      <c r="B30" s="10" t="s">
        <v>81</v>
      </c>
      <c r="C30" s="10" t="s">
        <v>21</v>
      </c>
      <c r="D30" s="10" t="s">
        <v>22</v>
      </c>
      <c r="E30" s="11" t="n">
        <v>1999</v>
      </c>
      <c r="F30" s="11" t="n">
        <v>970</v>
      </c>
      <c r="G30" s="12" t="n">
        <v>0.51</v>
      </c>
      <c r="H30" s="13" t="n">
        <v>4.4</v>
      </c>
      <c r="I30" s="11" t="n">
        <v>184</v>
      </c>
      <c r="J30" s="11" t="n">
        <f aca="false">E30-F30</f>
        <v>1029</v>
      </c>
      <c r="K30" s="10" t="str">
        <f aca="false">IF(G30&lt;0.2,"0-19%",IF(G30&lt;0.4,"20-39%",IF(G30&lt;0.6,"40-59%",IF(G30&lt;0.8,"60-79%","80%+"))))</f>
        <v>40-59%</v>
      </c>
      <c r="L30" s="10" t="str">
        <f aca="false">IF(H30="","No rating",IF(H30&lt;3.5,"Below 3.5",IF(H30&lt;4,"3.5-3.9",IF(H30&lt;4.5,"4.0-4.4","4.5+"))))</f>
        <v>4.0-4.4</v>
      </c>
    </row>
    <row r="31" customFormat="false" ht="15" hidden="false" customHeight="false" outlineLevel="0" collapsed="false">
      <c r="A31" s="10" t="s">
        <v>82</v>
      </c>
      <c r="B31" s="10" t="s">
        <v>83</v>
      </c>
      <c r="C31" s="10" t="s">
        <v>21</v>
      </c>
      <c r="D31" s="10" t="s">
        <v>22</v>
      </c>
      <c r="E31" s="11" t="n">
        <v>999</v>
      </c>
      <c r="F31" s="11" t="n">
        <v>299</v>
      </c>
      <c r="G31" s="12" t="n">
        <v>0.7</v>
      </c>
      <c r="H31" s="13" t="n">
        <v>4.3</v>
      </c>
      <c r="I31" s="11" t="n">
        <v>20850</v>
      </c>
      <c r="J31" s="11" t="n">
        <f aca="false">E31-F31</f>
        <v>700</v>
      </c>
      <c r="K31" s="10" t="str">
        <f aca="false">IF(G31&lt;0.2,"0-19%",IF(G31&lt;0.4,"20-39%",IF(G31&lt;0.6,"40-59%",IF(G31&lt;0.8,"60-79%","80%+"))))</f>
        <v>60-79%</v>
      </c>
      <c r="L31" s="10" t="str">
        <f aca="false">IF(H31="","No rating",IF(H31&lt;3.5,"Below 3.5",IF(H31&lt;4,"3.5-3.9",IF(H31&lt;4.5,"4.0-4.4","4.5+"))))</f>
        <v>4.0-4.4</v>
      </c>
    </row>
    <row r="32" customFormat="false" ht="15" hidden="false" customHeight="false" outlineLevel="0" collapsed="false">
      <c r="A32" s="10" t="s">
        <v>84</v>
      </c>
      <c r="B32" s="10" t="s">
        <v>85</v>
      </c>
      <c r="C32" s="10" t="s">
        <v>21</v>
      </c>
      <c r="D32" s="10" t="s">
        <v>22</v>
      </c>
      <c r="E32" s="11" t="n">
        <v>750</v>
      </c>
      <c r="F32" s="11" t="n">
        <v>199</v>
      </c>
      <c r="G32" s="12" t="n">
        <v>0.73</v>
      </c>
      <c r="H32" s="13" t="n">
        <v>4.5</v>
      </c>
      <c r="I32" s="11" t="n">
        <v>74976</v>
      </c>
      <c r="J32" s="11" t="n">
        <f aca="false">E32-F32</f>
        <v>551</v>
      </c>
      <c r="K32" s="10" t="str">
        <f aca="false">IF(G32&lt;0.2,"0-19%",IF(G32&lt;0.4,"20-39%",IF(G32&lt;0.6,"40-59%",IF(G32&lt;0.8,"60-79%","80%+"))))</f>
        <v>60-79%</v>
      </c>
      <c r="L32" s="10" t="str">
        <f aca="false">IF(H32="","No rating",IF(H32&lt;3.5,"Below 3.5",IF(H32&lt;4,"3.5-3.9",IF(H32&lt;4.5,"4.0-4.4","4.5+"))))</f>
        <v>4.5+</v>
      </c>
    </row>
    <row r="33" customFormat="false" ht="15" hidden="false" customHeight="false" outlineLevel="0" collapsed="false">
      <c r="A33" s="10" t="s">
        <v>86</v>
      </c>
      <c r="B33" s="10" t="s">
        <v>87</v>
      </c>
      <c r="C33" s="10" t="s">
        <v>21</v>
      </c>
      <c r="D33" s="10" t="s">
        <v>22</v>
      </c>
      <c r="E33" s="11" t="n">
        <v>499</v>
      </c>
      <c r="F33" s="11" t="n">
        <v>179</v>
      </c>
      <c r="G33" s="12" t="n">
        <v>0.64</v>
      </c>
      <c r="H33" s="13" t="n">
        <v>4</v>
      </c>
      <c r="I33" s="11" t="n">
        <v>1934</v>
      </c>
      <c r="J33" s="11" t="n">
        <f aca="false">E33-F33</f>
        <v>320</v>
      </c>
      <c r="K33" s="10" t="str">
        <f aca="false">IF(G33&lt;0.2,"0-19%",IF(G33&lt;0.4,"20-39%",IF(G33&lt;0.6,"40-59%",IF(G33&lt;0.8,"60-79%","80%+"))))</f>
        <v>60-79%</v>
      </c>
      <c r="L33" s="10" t="str">
        <f aca="false">IF(H33="","No rating",IF(H33&lt;3.5,"Below 3.5",IF(H33&lt;4,"3.5-3.9",IF(H33&lt;4.5,"4.0-4.4","4.5+"))))</f>
        <v>4.0-4.4</v>
      </c>
    </row>
    <row r="34" customFormat="false" ht="15" hidden="false" customHeight="false" outlineLevel="0" collapsed="false">
      <c r="A34" s="10" t="s">
        <v>88</v>
      </c>
      <c r="B34" s="10" t="s">
        <v>89</v>
      </c>
      <c r="C34" s="10" t="s">
        <v>21</v>
      </c>
      <c r="D34" s="10" t="s">
        <v>22</v>
      </c>
      <c r="E34" s="11" t="n">
        <v>1099</v>
      </c>
      <c r="F34" s="11" t="n">
        <v>389</v>
      </c>
      <c r="G34" s="12" t="n">
        <v>0.65</v>
      </c>
      <c r="H34" s="13" t="n">
        <v>4.3</v>
      </c>
      <c r="I34" s="11" t="n">
        <v>974</v>
      </c>
      <c r="J34" s="11" t="n">
        <f aca="false">E34-F34</f>
        <v>710</v>
      </c>
      <c r="K34" s="10" t="str">
        <f aca="false">IF(G34&lt;0.2,"0-19%",IF(G34&lt;0.4,"20-39%",IF(G34&lt;0.6,"40-59%",IF(G34&lt;0.8,"60-79%","80%+"))))</f>
        <v>60-79%</v>
      </c>
      <c r="L34" s="10" t="str">
        <f aca="false">IF(H34="","No rating",IF(H34&lt;3.5,"Below 3.5",IF(H34&lt;4,"3.5-3.9",IF(H34&lt;4.5,"4.0-4.4","4.5+"))))</f>
        <v>4.0-4.4</v>
      </c>
    </row>
    <row r="35" customFormat="false" ht="15" hidden="false" customHeight="false" outlineLevel="0" collapsed="false">
      <c r="A35" s="10" t="s">
        <v>90</v>
      </c>
      <c r="B35" s="10" t="s">
        <v>91</v>
      </c>
      <c r="C35" s="10" t="s">
        <v>21</v>
      </c>
      <c r="D35" s="10" t="s">
        <v>22</v>
      </c>
      <c r="E35" s="11" t="n">
        <v>599</v>
      </c>
      <c r="F35" s="11" t="n">
        <v>599</v>
      </c>
      <c r="G35" s="12" t="n">
        <v>0</v>
      </c>
      <c r="H35" s="13" t="n">
        <v>4.3</v>
      </c>
      <c r="I35" s="11" t="n">
        <v>355</v>
      </c>
      <c r="J35" s="11" t="n">
        <f aca="false">E35-F35</f>
        <v>0</v>
      </c>
      <c r="K35" s="10" t="str">
        <f aca="false">IF(G35&lt;0.2,"0-19%",IF(G35&lt;0.4,"20-39%",IF(G35&lt;0.6,"40-59%",IF(G35&lt;0.8,"60-79%","80%+"))))</f>
        <v>0-19%</v>
      </c>
      <c r="L35" s="10" t="str">
        <f aca="false">IF(H35="","No rating",IF(H35&lt;3.5,"Below 3.5",IF(H35&lt;4,"3.5-3.9",IF(H35&lt;4.5,"4.0-4.4","4.5+"))))</f>
        <v>4.0-4.4</v>
      </c>
    </row>
    <row r="36" customFormat="false" ht="15" hidden="false" customHeight="false" outlineLevel="0" collapsed="false">
      <c r="A36" s="10" t="s">
        <v>92</v>
      </c>
      <c r="B36" s="10" t="s">
        <v>93</v>
      </c>
      <c r="C36" s="10" t="s">
        <v>21</v>
      </c>
      <c r="D36" s="10" t="s">
        <v>22</v>
      </c>
      <c r="E36" s="11" t="n">
        <v>999</v>
      </c>
      <c r="F36" s="11" t="n">
        <v>199</v>
      </c>
      <c r="G36" s="12" t="n">
        <v>0.8</v>
      </c>
      <c r="H36" s="13" t="n">
        <v>3.9</v>
      </c>
      <c r="I36" s="11" t="n">
        <v>1075</v>
      </c>
      <c r="J36" s="11" t="n">
        <f aca="false">E36-F36</f>
        <v>800</v>
      </c>
      <c r="K36" s="10" t="str">
        <f aca="false">IF(G36&lt;0.2,"0-19%",IF(G36&lt;0.4,"20-39%",IF(G36&lt;0.6,"40-59%",IF(G36&lt;0.8,"60-79%","80%+"))))</f>
        <v>80%+</v>
      </c>
      <c r="L36" s="10" t="str">
        <f aca="false">IF(H36="","No rating",IF(H36&lt;3.5,"Below 3.5",IF(H36&lt;4,"3.5-3.9",IF(H36&lt;4.5,"4.0-4.4","4.5+"))))</f>
        <v>3.5-3.9</v>
      </c>
    </row>
    <row r="37" customFormat="false" ht="15" hidden="false" customHeight="false" outlineLevel="0" collapsed="false">
      <c r="A37" s="10" t="s">
        <v>94</v>
      </c>
      <c r="B37" s="10" t="s">
        <v>95</v>
      </c>
      <c r="C37" s="10" t="s">
        <v>21</v>
      </c>
      <c r="D37" s="10" t="s">
        <v>22</v>
      </c>
      <c r="E37" s="11" t="n">
        <v>666.66</v>
      </c>
      <c r="F37" s="11" t="n">
        <v>99</v>
      </c>
      <c r="G37" s="12" t="n">
        <v>0.85</v>
      </c>
      <c r="H37" s="13" t="n">
        <v>3.9</v>
      </c>
      <c r="I37" s="11" t="n">
        <v>24871</v>
      </c>
      <c r="J37" s="11" t="n">
        <f aca="false">E37-F37</f>
        <v>567.66</v>
      </c>
      <c r="K37" s="10" t="str">
        <f aca="false">IF(G37&lt;0.2,"0-19%",IF(G37&lt;0.4,"20-39%",IF(G37&lt;0.6,"40-59%",IF(G37&lt;0.8,"60-79%","80%+"))))</f>
        <v>80%+</v>
      </c>
      <c r="L37" s="10" t="str">
        <f aca="false">IF(H37="","No rating",IF(H37&lt;3.5,"Below 3.5",IF(H37&lt;4,"3.5-3.9",IF(H37&lt;4.5,"4.0-4.4","4.5+"))))</f>
        <v>3.5-3.9</v>
      </c>
    </row>
    <row r="38" customFormat="false" ht="15" hidden="false" customHeight="false" outlineLevel="0" collapsed="false">
      <c r="A38" s="10" t="s">
        <v>96</v>
      </c>
      <c r="B38" s="10" t="s">
        <v>97</v>
      </c>
      <c r="C38" s="10" t="s">
        <v>21</v>
      </c>
      <c r="D38" s="10" t="s">
        <v>22</v>
      </c>
      <c r="E38" s="11" t="n">
        <v>1900</v>
      </c>
      <c r="F38" s="11" t="n">
        <v>899</v>
      </c>
      <c r="G38" s="12" t="n">
        <v>0.53</v>
      </c>
      <c r="H38" s="13" t="n">
        <v>4.4</v>
      </c>
      <c r="I38" s="11" t="n">
        <v>13552</v>
      </c>
      <c r="J38" s="11" t="n">
        <f aca="false">E38-F38</f>
        <v>1001</v>
      </c>
      <c r="K38" s="10" t="str">
        <f aca="false">IF(G38&lt;0.2,"0-19%",IF(G38&lt;0.4,"20-39%",IF(G38&lt;0.6,"40-59%",IF(G38&lt;0.8,"60-79%","80%+"))))</f>
        <v>40-59%</v>
      </c>
      <c r="L38" s="10" t="str">
        <f aca="false">IF(H38="","No rating",IF(H38&lt;3.5,"Below 3.5",IF(H38&lt;4,"3.5-3.9",IF(H38&lt;4.5,"4.0-4.4","4.5+"))))</f>
        <v>4.0-4.4</v>
      </c>
    </row>
    <row r="39" customFormat="false" ht="15" hidden="false" customHeight="false" outlineLevel="0" collapsed="false">
      <c r="A39" s="10" t="s">
        <v>98</v>
      </c>
      <c r="B39" s="10" t="s">
        <v>99</v>
      </c>
      <c r="C39" s="10" t="s">
        <v>21</v>
      </c>
      <c r="D39" s="10" t="s">
        <v>22</v>
      </c>
      <c r="E39" s="11" t="n">
        <v>999</v>
      </c>
      <c r="F39" s="11" t="n">
        <v>199</v>
      </c>
      <c r="G39" s="12" t="n">
        <v>0.8</v>
      </c>
      <c r="H39" s="13" t="n">
        <v>4</v>
      </c>
      <c r="I39" s="11" t="n">
        <v>576</v>
      </c>
      <c r="J39" s="11" t="n">
        <f aca="false">E39-F39</f>
        <v>800</v>
      </c>
      <c r="K39" s="10" t="str">
        <f aca="false">IF(G39&lt;0.2,"0-19%",IF(G39&lt;0.4,"20-39%",IF(G39&lt;0.6,"40-59%",IF(G39&lt;0.8,"60-79%","80%+"))))</f>
        <v>80%+</v>
      </c>
      <c r="L39" s="10" t="str">
        <f aca="false">IF(H39="","No rating",IF(H39&lt;3.5,"Below 3.5",IF(H39&lt;4,"3.5-3.9",IF(H39&lt;4.5,"4.0-4.4","4.5+"))))</f>
        <v>4.0-4.4</v>
      </c>
    </row>
    <row r="40" customFormat="false" ht="15" hidden="false" customHeight="false" outlineLevel="0" collapsed="false">
      <c r="A40" s="10" t="s">
        <v>100</v>
      </c>
      <c r="B40" s="10" t="s">
        <v>101</v>
      </c>
      <c r="C40" s="10" t="s">
        <v>48</v>
      </c>
      <c r="D40" s="10" t="s">
        <v>49</v>
      </c>
      <c r="E40" s="11" t="n">
        <v>45999</v>
      </c>
      <c r="F40" s="11" t="n">
        <v>32999</v>
      </c>
      <c r="G40" s="12" t="n">
        <v>0.28</v>
      </c>
      <c r="H40" s="13" t="n">
        <v>4.2</v>
      </c>
      <c r="I40" s="11" t="n">
        <v>7298</v>
      </c>
      <c r="J40" s="11" t="n">
        <f aca="false">E40-F40</f>
        <v>13000</v>
      </c>
      <c r="K40" s="10" t="str">
        <f aca="false">IF(G40&lt;0.2,"0-19%",IF(G40&lt;0.4,"20-39%",IF(G40&lt;0.6,"40-59%",IF(G40&lt;0.8,"60-79%","80%+"))))</f>
        <v>20-39%</v>
      </c>
      <c r="L40" s="10" t="str">
        <f aca="false">IF(H40="","No rating",IF(H40&lt;3.5,"Below 3.5",IF(H40&lt;4,"3.5-3.9",IF(H40&lt;4.5,"4.0-4.4","4.5+"))))</f>
        <v>4.0-4.4</v>
      </c>
    </row>
    <row r="41" customFormat="false" ht="15" hidden="false" customHeight="false" outlineLevel="0" collapsed="false">
      <c r="A41" s="10" t="s">
        <v>102</v>
      </c>
      <c r="B41" s="10" t="s">
        <v>103</v>
      </c>
      <c r="C41" s="10" t="s">
        <v>21</v>
      </c>
      <c r="D41" s="10" t="s">
        <v>22</v>
      </c>
      <c r="E41" s="11" t="n">
        <v>1999</v>
      </c>
      <c r="F41" s="11" t="n">
        <v>970</v>
      </c>
      <c r="G41" s="12" t="n">
        <v>0.51</v>
      </c>
      <c r="H41" s="13" t="n">
        <v>4.2</v>
      </c>
      <c r="I41" s="11" t="n">
        <v>462</v>
      </c>
      <c r="J41" s="11" t="n">
        <f aca="false">E41-F41</f>
        <v>1029</v>
      </c>
      <c r="K41" s="10" t="str">
        <f aca="false">IF(G41&lt;0.2,"0-19%",IF(G41&lt;0.4,"20-39%",IF(G41&lt;0.6,"40-59%",IF(G41&lt;0.8,"60-79%","80%+"))))</f>
        <v>40-59%</v>
      </c>
      <c r="L41" s="10" t="str">
        <f aca="false">IF(H41="","No rating",IF(H41&lt;3.5,"Below 3.5",IF(H41&lt;4,"3.5-3.9",IF(H41&lt;4.5,"4.0-4.4","4.5+"))))</f>
        <v>4.0-4.4</v>
      </c>
    </row>
    <row r="42" customFormat="false" ht="15" hidden="false" customHeight="false" outlineLevel="0" collapsed="false">
      <c r="A42" s="10" t="s">
        <v>104</v>
      </c>
      <c r="B42" s="10" t="s">
        <v>105</v>
      </c>
      <c r="C42" s="10" t="s">
        <v>21</v>
      </c>
      <c r="D42" s="10" t="s">
        <v>22</v>
      </c>
      <c r="E42" s="11" t="n">
        <v>695</v>
      </c>
      <c r="F42" s="11" t="n">
        <v>209</v>
      </c>
      <c r="G42" s="12" t="n">
        <v>0.7</v>
      </c>
      <c r="H42" s="13" t="n">
        <v>4.5</v>
      </c>
      <c r="I42" s="11" t="n">
        <v>107687</v>
      </c>
      <c r="J42" s="11" t="n">
        <f aca="false">E42-F42</f>
        <v>486</v>
      </c>
      <c r="K42" s="10" t="str">
        <f aca="false">IF(G42&lt;0.2,"0-19%",IF(G42&lt;0.4,"20-39%",IF(G42&lt;0.6,"40-59%",IF(G42&lt;0.8,"60-79%","80%+"))))</f>
        <v>60-79%</v>
      </c>
      <c r="L42" s="10" t="str">
        <f aca="false">IF(H42="","No rating",IF(H42&lt;3.5,"Below 3.5",IF(H42&lt;4,"3.5-3.9",IF(H42&lt;4.5,"4.0-4.4","4.5+"))))</f>
        <v>4.5+</v>
      </c>
    </row>
    <row r="43" customFormat="false" ht="15" hidden="false" customHeight="false" outlineLevel="0" collapsed="false">
      <c r="A43" s="10" t="s">
        <v>106</v>
      </c>
      <c r="B43" s="10" t="s">
        <v>107</v>
      </c>
      <c r="C43" s="10" t="s">
        <v>48</v>
      </c>
      <c r="D43" s="10" t="s">
        <v>49</v>
      </c>
      <c r="E43" s="11" t="n">
        <v>34999</v>
      </c>
      <c r="F43" s="11" t="n">
        <v>19999</v>
      </c>
      <c r="G43" s="12" t="n">
        <v>0.43</v>
      </c>
      <c r="H43" s="13" t="n">
        <v>4.3</v>
      </c>
      <c r="I43" s="11" t="n">
        <v>27151</v>
      </c>
      <c r="J43" s="11" t="n">
        <f aca="false">E43-F43</f>
        <v>15000</v>
      </c>
      <c r="K43" s="10" t="str">
        <f aca="false">IF(G43&lt;0.2,"0-19%",IF(G43&lt;0.4,"20-39%",IF(G43&lt;0.6,"40-59%",IF(G43&lt;0.8,"60-79%","80%+"))))</f>
        <v>40-59%</v>
      </c>
      <c r="L43" s="10" t="str">
        <f aca="false">IF(H43="","No rating",IF(H43&lt;3.5,"Below 3.5",IF(H43&lt;4,"3.5-3.9",IF(H43&lt;4.5,"4.0-4.4","4.5+"))))</f>
        <v>4.0-4.4</v>
      </c>
    </row>
    <row r="44" customFormat="false" ht="15" hidden="false" customHeight="false" outlineLevel="0" collapsed="false">
      <c r="A44" s="10" t="s">
        <v>108</v>
      </c>
      <c r="B44" s="10" t="s">
        <v>109</v>
      </c>
      <c r="C44" s="10" t="s">
        <v>21</v>
      </c>
      <c r="D44" s="10" t="s">
        <v>22</v>
      </c>
      <c r="E44" s="11" t="n">
        <v>1099</v>
      </c>
      <c r="F44" s="11" t="n">
        <v>399</v>
      </c>
      <c r="G44" s="12" t="n">
        <v>0.64</v>
      </c>
      <c r="H44" s="13" t="n">
        <v>4.2</v>
      </c>
      <c r="I44" s="11" t="n">
        <v>24269</v>
      </c>
      <c r="J44" s="11" t="n">
        <f aca="false">E44-F44</f>
        <v>700</v>
      </c>
      <c r="K44" s="10" t="str">
        <f aca="false">IF(G44&lt;0.2,"0-19%",IF(G44&lt;0.4,"20-39%",IF(G44&lt;0.6,"40-59%",IF(G44&lt;0.8,"60-79%","80%+"))))</f>
        <v>60-79%</v>
      </c>
      <c r="L44" s="10" t="str">
        <f aca="false">IF(H44="","No rating",IF(H44&lt;3.5,"Below 3.5",IF(H44&lt;4,"3.5-3.9",IF(H44&lt;4.5,"4.0-4.4","4.5+"))))</f>
        <v>4.0-4.4</v>
      </c>
    </row>
    <row r="45" customFormat="false" ht="15" hidden="false" customHeight="false" outlineLevel="0" collapsed="false">
      <c r="A45" s="10" t="s">
        <v>110</v>
      </c>
      <c r="B45" s="10" t="s">
        <v>111</v>
      </c>
      <c r="C45" s="10" t="s">
        <v>21</v>
      </c>
      <c r="D45" s="10" t="s">
        <v>39</v>
      </c>
      <c r="E45" s="11" t="n">
        <v>1599</v>
      </c>
      <c r="F45" s="11" t="n">
        <v>999</v>
      </c>
      <c r="G45" s="12" t="n">
        <v>0.38</v>
      </c>
      <c r="H45" s="13" t="n">
        <v>4.3</v>
      </c>
      <c r="I45" s="11" t="n">
        <v>12093</v>
      </c>
      <c r="J45" s="11" t="n">
        <f aca="false">E45-F45</f>
        <v>600</v>
      </c>
      <c r="K45" s="10" t="str">
        <f aca="false">IF(G45&lt;0.2,"0-19%",IF(G45&lt;0.4,"20-39%",IF(G45&lt;0.6,"40-59%",IF(G45&lt;0.8,"60-79%","80%+"))))</f>
        <v>20-39%</v>
      </c>
      <c r="L45" s="10" t="str">
        <f aca="false">IF(H45="","No rating",IF(H45&lt;3.5,"Below 3.5",IF(H45&lt;4,"3.5-3.9",IF(H45&lt;4.5,"4.0-4.4","4.5+"))))</f>
        <v>4.0-4.4</v>
      </c>
    </row>
    <row r="46" customFormat="false" ht="15" hidden="false" customHeight="false" outlineLevel="0" collapsed="false">
      <c r="A46" s="10" t="s">
        <v>112</v>
      </c>
      <c r="B46" s="10" t="s">
        <v>113</v>
      </c>
      <c r="C46" s="10" t="s">
        <v>21</v>
      </c>
      <c r="D46" s="10" t="s">
        <v>22</v>
      </c>
      <c r="E46" s="11" t="n">
        <v>199</v>
      </c>
      <c r="F46" s="11" t="n">
        <v>59</v>
      </c>
      <c r="G46" s="12" t="n">
        <v>0.7</v>
      </c>
      <c r="H46" s="13" t="n">
        <v>4</v>
      </c>
      <c r="I46" s="11" t="n">
        <v>9378</v>
      </c>
      <c r="J46" s="11" t="n">
        <f aca="false">E46-F46</f>
        <v>140</v>
      </c>
      <c r="K46" s="10" t="str">
        <f aca="false">IF(G46&lt;0.2,"0-19%",IF(G46&lt;0.4,"20-39%",IF(G46&lt;0.6,"40-59%",IF(G46&lt;0.8,"60-79%","80%+"))))</f>
        <v>60-79%</v>
      </c>
      <c r="L46" s="10" t="str">
        <f aca="false">IF(H46="","No rating",IF(H46&lt;3.5,"Below 3.5",IF(H46&lt;4,"3.5-3.9",IF(H46&lt;4.5,"4.0-4.4","4.5+"))))</f>
        <v>4.0-4.4</v>
      </c>
    </row>
    <row r="47" customFormat="false" ht="15" hidden="false" customHeight="false" outlineLevel="0" collapsed="false">
      <c r="A47" s="10" t="s">
        <v>114</v>
      </c>
      <c r="B47" s="10" t="s">
        <v>115</v>
      </c>
      <c r="C47" s="10" t="s">
        <v>21</v>
      </c>
      <c r="D47" s="10" t="s">
        <v>22</v>
      </c>
      <c r="E47" s="11" t="n">
        <v>999</v>
      </c>
      <c r="F47" s="11" t="n">
        <v>333</v>
      </c>
      <c r="G47" s="12" t="n">
        <v>0.67</v>
      </c>
      <c r="H47" s="13" t="n">
        <v>3.3</v>
      </c>
      <c r="I47" s="11" t="n">
        <v>9792</v>
      </c>
      <c r="J47" s="11" t="n">
        <f aca="false">E47-F47</f>
        <v>666</v>
      </c>
      <c r="K47" s="10" t="str">
        <f aca="false">IF(G47&lt;0.2,"0-19%",IF(G47&lt;0.4,"20-39%",IF(G47&lt;0.6,"40-59%",IF(G47&lt;0.8,"60-79%","80%+"))))</f>
        <v>60-79%</v>
      </c>
      <c r="L47" s="10" t="str">
        <f aca="false">IF(H47="","No rating",IF(H47&lt;3.5,"Below 3.5",IF(H47&lt;4,"3.5-3.9",IF(H47&lt;4.5,"4.0-4.4","4.5+"))))</f>
        <v>Below 3.5</v>
      </c>
    </row>
    <row r="48" customFormat="false" ht="15" hidden="false" customHeight="false" outlineLevel="0" collapsed="false">
      <c r="A48" s="10" t="s">
        <v>116</v>
      </c>
      <c r="B48" s="10" t="s">
        <v>117</v>
      </c>
      <c r="C48" s="10" t="s">
        <v>21</v>
      </c>
      <c r="D48" s="10" t="s">
        <v>39</v>
      </c>
      <c r="E48" s="11" t="n">
        <v>1208</v>
      </c>
      <c r="F48" s="11" t="n">
        <v>507</v>
      </c>
      <c r="G48" s="12" t="n">
        <v>0.58</v>
      </c>
      <c r="H48" s="13" t="n">
        <v>4.1</v>
      </c>
      <c r="I48" s="11" t="n">
        <v>8131</v>
      </c>
      <c r="J48" s="11" t="n">
        <f aca="false">E48-F48</f>
        <v>701</v>
      </c>
      <c r="K48" s="10" t="str">
        <f aca="false">IF(G48&lt;0.2,"0-19%",IF(G48&lt;0.4,"20-39%",IF(G48&lt;0.6,"40-59%",IF(G48&lt;0.8,"60-79%","80%+"))))</f>
        <v>40-59%</v>
      </c>
      <c r="L48" s="10" t="str">
        <f aca="false">IF(H48="","No rating",IF(H48&lt;3.5,"Below 3.5",IF(H48&lt;4,"3.5-3.9",IF(H48&lt;4.5,"4.0-4.4","4.5+"))))</f>
        <v>4.0-4.4</v>
      </c>
    </row>
    <row r="49" customFormat="false" ht="15" hidden="false" customHeight="false" outlineLevel="0" collapsed="false">
      <c r="A49" s="10" t="s">
        <v>118</v>
      </c>
      <c r="B49" s="10" t="s">
        <v>119</v>
      </c>
      <c r="C49" s="10" t="s">
        <v>48</v>
      </c>
      <c r="D49" s="10" t="s">
        <v>49</v>
      </c>
      <c r="E49" s="11" t="n">
        <v>475</v>
      </c>
      <c r="F49" s="11" t="n">
        <v>309</v>
      </c>
      <c r="G49" s="12" t="n">
        <v>0.35</v>
      </c>
      <c r="H49" s="13" t="n">
        <v>4.4</v>
      </c>
      <c r="I49" s="11" t="n">
        <v>426973</v>
      </c>
      <c r="J49" s="11" t="n">
        <f aca="false">E49-F49</f>
        <v>166</v>
      </c>
      <c r="K49" s="10" t="str">
        <f aca="false">IF(G49&lt;0.2,"0-19%",IF(G49&lt;0.4,"20-39%",IF(G49&lt;0.6,"40-59%",IF(G49&lt;0.8,"60-79%","80%+"))))</f>
        <v>20-39%</v>
      </c>
      <c r="L49" s="10" t="str">
        <f aca="false">IF(H49="","No rating",IF(H49&lt;3.5,"Below 3.5",IF(H49&lt;4,"3.5-3.9",IF(H49&lt;4.5,"4.0-4.4","4.5+"))))</f>
        <v>4.0-4.4</v>
      </c>
    </row>
    <row r="50" customFormat="false" ht="15" hidden="false" customHeight="false" outlineLevel="0" collapsed="false">
      <c r="A50" s="10" t="s">
        <v>120</v>
      </c>
      <c r="B50" s="10" t="s">
        <v>121</v>
      </c>
      <c r="C50" s="10" t="s">
        <v>48</v>
      </c>
      <c r="D50" s="10" t="s">
        <v>49</v>
      </c>
      <c r="E50" s="11" t="n">
        <v>999</v>
      </c>
      <c r="F50" s="11" t="n">
        <v>399</v>
      </c>
      <c r="G50" s="12" t="n">
        <v>0.6</v>
      </c>
      <c r="H50" s="13" t="n">
        <v>3.6</v>
      </c>
      <c r="I50" s="11" t="n">
        <v>493</v>
      </c>
      <c r="J50" s="11" t="n">
        <f aca="false">E50-F50</f>
        <v>600</v>
      </c>
      <c r="K50" s="10" t="str">
        <f aca="false">IF(G50&lt;0.2,"0-19%",IF(G50&lt;0.4,"20-39%",IF(G50&lt;0.6,"40-59%",IF(G50&lt;0.8,"60-79%","80%+"))))</f>
        <v>60-79%</v>
      </c>
      <c r="L50" s="10" t="str">
        <f aca="false">IF(H50="","No rating",IF(H50&lt;3.5,"Below 3.5",IF(H50&lt;4,"3.5-3.9",IF(H50&lt;4.5,"4.0-4.4","4.5+"))))</f>
        <v>3.5-3.9</v>
      </c>
    </row>
    <row r="51" customFormat="false" ht="15" hidden="false" customHeight="false" outlineLevel="0" collapsed="false">
      <c r="A51" s="10" t="s">
        <v>122</v>
      </c>
      <c r="B51" s="10" t="s">
        <v>123</v>
      </c>
      <c r="C51" s="10" t="s">
        <v>21</v>
      </c>
      <c r="D51" s="10" t="s">
        <v>22</v>
      </c>
      <c r="E51" s="11" t="n">
        <v>395</v>
      </c>
      <c r="F51" s="11" t="n">
        <v>199</v>
      </c>
      <c r="G51" s="12" t="n">
        <v>0.5</v>
      </c>
      <c r="H51" s="13" t="n">
        <v>4.2</v>
      </c>
      <c r="I51" s="11" t="n">
        <v>92595</v>
      </c>
      <c r="J51" s="11" t="n">
        <f aca="false">E51-F51</f>
        <v>196</v>
      </c>
      <c r="K51" s="10" t="str">
        <f aca="false">IF(G51&lt;0.2,"0-19%",IF(G51&lt;0.4,"20-39%",IF(G51&lt;0.6,"40-59%",IF(G51&lt;0.8,"60-79%","80%+"))))</f>
        <v>40-59%</v>
      </c>
      <c r="L51" s="10" t="str">
        <f aca="false">IF(H51="","No rating",IF(H51&lt;3.5,"Below 3.5",IF(H51&lt;4,"3.5-3.9",IF(H51&lt;4.5,"4.0-4.4","4.5+"))))</f>
        <v>4.0-4.4</v>
      </c>
    </row>
    <row r="52" customFormat="false" ht="15" hidden="false" customHeight="false" outlineLevel="0" collapsed="false">
      <c r="A52" s="10" t="s">
        <v>124</v>
      </c>
      <c r="B52" s="10" t="s">
        <v>125</v>
      </c>
      <c r="C52" s="10" t="s">
        <v>21</v>
      </c>
      <c r="D52" s="10" t="s">
        <v>39</v>
      </c>
      <c r="E52" s="11" t="n">
        <v>2199</v>
      </c>
      <c r="F52" s="11" t="n">
        <v>1199</v>
      </c>
      <c r="G52" s="12" t="n">
        <v>0.45</v>
      </c>
      <c r="H52" s="13" t="n">
        <v>4.4</v>
      </c>
      <c r="I52" s="11" t="n">
        <v>24780</v>
      </c>
      <c r="J52" s="11" t="n">
        <f aca="false">E52-F52</f>
        <v>1000</v>
      </c>
      <c r="K52" s="10" t="str">
        <f aca="false">IF(G52&lt;0.2,"0-19%",IF(G52&lt;0.4,"20-39%",IF(G52&lt;0.6,"40-59%",IF(G52&lt;0.8,"60-79%","80%+"))))</f>
        <v>40-59%</v>
      </c>
      <c r="L52" s="10" t="str">
        <f aca="false">IF(H52="","No rating",IF(H52&lt;3.5,"Below 3.5",IF(H52&lt;4,"3.5-3.9",IF(H52&lt;4.5,"4.0-4.4","4.5+"))))</f>
        <v>4.0-4.4</v>
      </c>
    </row>
    <row r="53" customFormat="false" ht="15" hidden="false" customHeight="false" outlineLevel="0" collapsed="false">
      <c r="A53" s="10" t="s">
        <v>126</v>
      </c>
      <c r="B53" s="10" t="s">
        <v>127</v>
      </c>
      <c r="C53" s="10" t="s">
        <v>21</v>
      </c>
      <c r="D53" s="10" t="s">
        <v>22</v>
      </c>
      <c r="E53" s="11" t="n">
        <v>500</v>
      </c>
      <c r="F53" s="11" t="n">
        <v>179</v>
      </c>
      <c r="G53" s="12" t="n">
        <v>0.64</v>
      </c>
      <c r="H53" s="13" t="n">
        <v>4.2</v>
      </c>
      <c r="I53" s="11" t="n">
        <v>92595</v>
      </c>
      <c r="J53" s="11" t="n">
        <f aca="false">E53-F53</f>
        <v>321</v>
      </c>
      <c r="K53" s="10" t="str">
        <f aca="false">IF(G53&lt;0.2,"0-19%",IF(G53&lt;0.4,"20-39%",IF(G53&lt;0.6,"40-59%",IF(G53&lt;0.8,"60-79%","80%+"))))</f>
        <v>60-79%</v>
      </c>
      <c r="L53" s="10" t="str">
        <f aca="false">IF(H53="","No rating",IF(H53&lt;3.5,"Below 3.5",IF(H53&lt;4,"3.5-3.9",IF(H53&lt;4.5,"4.0-4.4","4.5+"))))</f>
        <v>4.0-4.4</v>
      </c>
    </row>
    <row r="54" customFormat="false" ht="15" hidden="false" customHeight="false" outlineLevel="0" collapsed="false">
      <c r="A54" s="10" t="s">
        <v>128</v>
      </c>
      <c r="B54" s="10" t="s">
        <v>129</v>
      </c>
      <c r="C54" s="10" t="s">
        <v>21</v>
      </c>
      <c r="D54" s="10" t="s">
        <v>22</v>
      </c>
      <c r="E54" s="11" t="n">
        <v>2100</v>
      </c>
      <c r="F54" s="11" t="n">
        <v>799</v>
      </c>
      <c r="G54" s="12" t="n">
        <v>0.62</v>
      </c>
      <c r="H54" s="13" t="n">
        <v>4.3</v>
      </c>
      <c r="I54" s="11" t="n">
        <v>8188</v>
      </c>
      <c r="J54" s="11" t="n">
        <f aca="false">E54-F54</f>
        <v>1301</v>
      </c>
      <c r="K54" s="10" t="str">
        <f aca="false">IF(G54&lt;0.2,"0-19%",IF(G54&lt;0.4,"20-39%",IF(G54&lt;0.6,"40-59%",IF(G54&lt;0.8,"60-79%","80%+"))))</f>
        <v>60-79%</v>
      </c>
      <c r="L54" s="10" t="str">
        <f aca="false">IF(H54="","No rating",IF(H54&lt;3.5,"Below 3.5",IF(H54&lt;4,"3.5-3.9",IF(H54&lt;4.5,"4.0-4.4","4.5+"))))</f>
        <v>4.0-4.4</v>
      </c>
    </row>
    <row r="55" customFormat="false" ht="15" hidden="false" customHeight="false" outlineLevel="0" collapsed="false">
      <c r="A55" s="10" t="s">
        <v>130</v>
      </c>
      <c r="B55" s="10" t="s">
        <v>131</v>
      </c>
      <c r="C55" s="10" t="s">
        <v>48</v>
      </c>
      <c r="D55" s="10" t="s">
        <v>49</v>
      </c>
      <c r="E55" s="11" t="n">
        <v>12999</v>
      </c>
      <c r="F55" s="11" t="n">
        <v>6999</v>
      </c>
      <c r="G55" s="12" t="n">
        <v>0.46</v>
      </c>
      <c r="H55" s="13" t="n">
        <v>4.2</v>
      </c>
      <c r="I55" s="11" t="n">
        <v>4003</v>
      </c>
      <c r="J55" s="11" t="n">
        <f aca="false">E55-F55</f>
        <v>6000</v>
      </c>
      <c r="K55" s="10" t="str">
        <f aca="false">IF(G55&lt;0.2,"0-19%",IF(G55&lt;0.4,"20-39%",IF(G55&lt;0.6,"40-59%",IF(G55&lt;0.8,"60-79%","80%+"))))</f>
        <v>40-59%</v>
      </c>
      <c r="L55" s="10" t="str">
        <f aca="false">IF(H55="","No rating",IF(H55&lt;3.5,"Below 3.5",IF(H55&lt;4,"3.5-3.9",IF(H55&lt;4.5,"4.0-4.4","4.5+"))))</f>
        <v>4.0-4.4</v>
      </c>
    </row>
    <row r="56" customFormat="false" ht="15" hidden="false" customHeight="false" outlineLevel="0" collapsed="false">
      <c r="A56" s="10" t="s">
        <v>132</v>
      </c>
      <c r="B56" s="10" t="s">
        <v>133</v>
      </c>
      <c r="C56" s="10" t="s">
        <v>21</v>
      </c>
      <c r="D56" s="10" t="s">
        <v>22</v>
      </c>
      <c r="E56" s="11" t="n">
        <v>349</v>
      </c>
      <c r="F56" s="11" t="n">
        <v>199</v>
      </c>
      <c r="G56" s="12" t="n">
        <v>0.43</v>
      </c>
      <c r="H56" s="13" t="n">
        <v>4.1</v>
      </c>
      <c r="I56" s="11" t="n">
        <v>314</v>
      </c>
      <c r="J56" s="11" t="n">
        <f aca="false">E56-F56</f>
        <v>150</v>
      </c>
      <c r="K56" s="10" t="str">
        <f aca="false">IF(G56&lt;0.2,"0-19%",IF(G56&lt;0.4,"20-39%",IF(G56&lt;0.6,"40-59%",IF(G56&lt;0.8,"60-79%","80%+"))))</f>
        <v>40-59%</v>
      </c>
      <c r="L56" s="10" t="str">
        <f aca="false">IF(H56="","No rating",IF(H56&lt;3.5,"Below 3.5",IF(H56&lt;4,"3.5-3.9",IF(H56&lt;4.5,"4.0-4.4","4.5+"))))</f>
        <v>4.0-4.4</v>
      </c>
    </row>
    <row r="57" customFormat="false" ht="15" hidden="false" customHeight="false" outlineLevel="0" collapsed="false">
      <c r="A57" s="10" t="s">
        <v>134</v>
      </c>
      <c r="B57" s="10" t="s">
        <v>135</v>
      </c>
      <c r="C57" s="10" t="s">
        <v>48</v>
      </c>
      <c r="D57" s="10" t="s">
        <v>49</v>
      </c>
      <c r="E57" s="11" t="n">
        <v>499</v>
      </c>
      <c r="F57" s="11" t="n">
        <v>230</v>
      </c>
      <c r="G57" s="12" t="n">
        <v>0.54</v>
      </c>
      <c r="H57" s="13" t="n">
        <v>3.7</v>
      </c>
      <c r="I57" s="11" t="n">
        <v>2960</v>
      </c>
      <c r="J57" s="11" t="n">
        <f aca="false">E57-F57</f>
        <v>269</v>
      </c>
      <c r="K57" s="10" t="str">
        <f aca="false">IF(G57&lt;0.2,"0-19%",IF(G57&lt;0.4,"20-39%",IF(G57&lt;0.6,"40-59%",IF(G57&lt;0.8,"60-79%","80%+"))))</f>
        <v>40-59%</v>
      </c>
      <c r="L57" s="10" t="str">
        <f aca="false">IF(H57="","No rating",IF(H57&lt;3.5,"Below 3.5",IF(H57&lt;4,"3.5-3.9",IF(H57&lt;4.5,"4.0-4.4","4.5+"))))</f>
        <v>3.5-3.9</v>
      </c>
    </row>
    <row r="58" customFormat="false" ht="15" hidden="false" customHeight="false" outlineLevel="0" collapsed="false">
      <c r="A58" s="10" t="s">
        <v>136</v>
      </c>
      <c r="B58" s="10" t="s">
        <v>137</v>
      </c>
      <c r="C58" s="10" t="s">
        <v>21</v>
      </c>
      <c r="D58" s="10" t="s">
        <v>39</v>
      </c>
      <c r="E58" s="11" t="n">
        <v>1399</v>
      </c>
      <c r="F58" s="11" t="n">
        <v>649</v>
      </c>
      <c r="G58" s="12" t="n">
        <v>0.54</v>
      </c>
      <c r="H58" s="13" t="n">
        <v>4.2</v>
      </c>
      <c r="I58" s="11" t="n">
        <v>179691</v>
      </c>
      <c r="J58" s="11" t="n">
        <f aca="false">E58-F58</f>
        <v>750</v>
      </c>
      <c r="K58" s="10" t="str">
        <f aca="false">IF(G58&lt;0.2,"0-19%",IF(G58&lt;0.4,"20-39%",IF(G58&lt;0.6,"40-59%",IF(G58&lt;0.8,"60-79%","80%+"))))</f>
        <v>40-59%</v>
      </c>
      <c r="L58" s="10" t="str">
        <f aca="false">IF(H58="","No rating",IF(H58&lt;3.5,"Below 3.5",IF(H58&lt;4,"3.5-3.9",IF(H58&lt;4.5,"4.0-4.4","4.5+"))))</f>
        <v>4.0-4.4</v>
      </c>
    </row>
    <row r="59" customFormat="false" ht="15" hidden="false" customHeight="false" outlineLevel="0" collapsed="false">
      <c r="A59" s="10" t="s">
        <v>138</v>
      </c>
      <c r="B59" s="10" t="s">
        <v>139</v>
      </c>
      <c r="C59" s="10" t="s">
        <v>48</v>
      </c>
      <c r="D59" s="10" t="s">
        <v>49</v>
      </c>
      <c r="E59" s="11" t="n">
        <v>21999</v>
      </c>
      <c r="F59" s="11" t="n">
        <v>15999</v>
      </c>
      <c r="G59" s="12" t="n">
        <v>0.27</v>
      </c>
      <c r="H59" s="13" t="n">
        <v>4.2</v>
      </c>
      <c r="I59" s="11" t="n">
        <v>34899</v>
      </c>
      <c r="J59" s="11" t="n">
        <f aca="false">E59-F59</f>
        <v>6000</v>
      </c>
      <c r="K59" s="10" t="str">
        <f aca="false">IF(G59&lt;0.2,"0-19%",IF(G59&lt;0.4,"20-39%",IF(G59&lt;0.6,"40-59%",IF(G59&lt;0.8,"60-79%","80%+"))))</f>
        <v>20-39%</v>
      </c>
      <c r="L59" s="10" t="str">
        <f aca="false">IF(H59="","No rating",IF(H59&lt;3.5,"Below 3.5",IF(H59&lt;4,"3.5-3.9",IF(H59&lt;4.5,"4.0-4.4","4.5+"))))</f>
        <v>4.0-4.4</v>
      </c>
    </row>
    <row r="60" customFormat="false" ht="15" hidden="false" customHeight="false" outlineLevel="0" collapsed="false">
      <c r="A60" s="10" t="s">
        <v>140</v>
      </c>
      <c r="B60" s="10" t="s">
        <v>141</v>
      </c>
      <c r="C60" s="10" t="s">
        <v>21</v>
      </c>
      <c r="D60" s="10" t="s">
        <v>22</v>
      </c>
      <c r="E60" s="11" t="n">
        <v>1499</v>
      </c>
      <c r="F60" s="11" t="n">
        <v>348</v>
      </c>
      <c r="G60" s="12" t="n">
        <v>0.77</v>
      </c>
      <c r="H60" s="13" t="n">
        <v>4.2</v>
      </c>
      <c r="I60" s="11" t="n">
        <v>656</v>
      </c>
      <c r="J60" s="11" t="n">
        <f aca="false">E60-F60</f>
        <v>1151</v>
      </c>
      <c r="K60" s="10" t="str">
        <f aca="false">IF(G60&lt;0.2,"0-19%",IF(G60&lt;0.4,"20-39%",IF(G60&lt;0.6,"40-59%",IF(G60&lt;0.8,"60-79%","80%+"))))</f>
        <v>60-79%</v>
      </c>
      <c r="L60" s="10" t="str">
        <f aca="false">IF(H60="","No rating",IF(H60&lt;3.5,"Below 3.5",IF(H60&lt;4,"3.5-3.9",IF(H60&lt;4.5,"4.0-4.4","4.5+"))))</f>
        <v>4.0-4.4</v>
      </c>
    </row>
    <row r="61" customFormat="false" ht="15" hidden="false" customHeight="false" outlineLevel="0" collapsed="false">
      <c r="A61" s="10" t="s">
        <v>142</v>
      </c>
      <c r="B61" s="10" t="s">
        <v>143</v>
      </c>
      <c r="C61" s="10" t="s">
        <v>21</v>
      </c>
      <c r="D61" s="10" t="s">
        <v>22</v>
      </c>
      <c r="E61" s="11" t="n">
        <v>349</v>
      </c>
      <c r="F61" s="11" t="n">
        <v>154</v>
      </c>
      <c r="G61" s="12" t="n">
        <v>0.56</v>
      </c>
      <c r="H61" s="13" t="n">
        <v>4.3</v>
      </c>
      <c r="I61" s="11" t="n">
        <v>7064</v>
      </c>
      <c r="J61" s="11" t="n">
        <f aca="false">E61-F61</f>
        <v>195</v>
      </c>
      <c r="K61" s="10" t="str">
        <f aca="false">IF(G61&lt;0.2,"0-19%",IF(G61&lt;0.4,"20-39%",IF(G61&lt;0.6,"40-59%",IF(G61&lt;0.8,"60-79%","80%+"))))</f>
        <v>40-59%</v>
      </c>
      <c r="L61" s="10" t="str">
        <f aca="false">IF(H61="","No rating",IF(H61&lt;3.5,"Below 3.5",IF(H61&lt;4,"3.5-3.9",IF(H61&lt;4.5,"4.0-4.4","4.5+"))))</f>
        <v>4.0-4.4</v>
      </c>
    </row>
    <row r="62" customFormat="false" ht="15" hidden="false" customHeight="false" outlineLevel="0" collapsed="false">
      <c r="A62" s="10" t="s">
        <v>144</v>
      </c>
      <c r="B62" s="10" t="s">
        <v>145</v>
      </c>
      <c r="C62" s="10" t="s">
        <v>48</v>
      </c>
      <c r="D62" s="10" t="s">
        <v>49</v>
      </c>
      <c r="E62" s="11" t="n">
        <v>799</v>
      </c>
      <c r="F62" s="11" t="n">
        <v>179</v>
      </c>
      <c r="G62" s="12" t="n">
        <v>0.78</v>
      </c>
      <c r="H62" s="13" t="n">
        <v>3.7</v>
      </c>
      <c r="I62" s="11" t="n">
        <v>2201</v>
      </c>
      <c r="J62" s="11" t="n">
        <f aca="false">E62-F62</f>
        <v>620</v>
      </c>
      <c r="K62" s="10" t="str">
        <f aca="false">IF(G62&lt;0.2,"0-19%",IF(G62&lt;0.4,"20-39%",IF(G62&lt;0.6,"40-59%",IF(G62&lt;0.8,"60-79%","80%+"))))</f>
        <v>60-79%</v>
      </c>
      <c r="L62" s="10" t="str">
        <f aca="false">IF(H62="","No rating",IF(H62&lt;3.5,"Below 3.5",IF(H62&lt;4,"3.5-3.9",IF(H62&lt;4.5,"4.0-4.4","4.5+"))))</f>
        <v>3.5-3.9</v>
      </c>
    </row>
    <row r="63" customFormat="false" ht="15" hidden="false" customHeight="false" outlineLevel="0" collapsed="false">
      <c r="A63" s="10" t="s">
        <v>146</v>
      </c>
      <c r="B63" s="10" t="s">
        <v>147</v>
      </c>
      <c r="C63" s="10" t="s">
        <v>48</v>
      </c>
      <c r="D63" s="10" t="s">
        <v>49</v>
      </c>
      <c r="E63" s="11" t="n">
        <v>47900</v>
      </c>
      <c r="F63" s="11" t="n">
        <v>32990</v>
      </c>
      <c r="G63" s="12" t="n">
        <v>0.31</v>
      </c>
      <c r="H63" s="13" t="n">
        <v>4.3</v>
      </c>
      <c r="I63" s="11" t="n">
        <v>7109</v>
      </c>
      <c r="J63" s="11" t="n">
        <f aca="false">E63-F63</f>
        <v>14910</v>
      </c>
      <c r="K63" s="10" t="str">
        <f aca="false">IF(G63&lt;0.2,"0-19%",IF(G63&lt;0.4,"20-39%",IF(G63&lt;0.6,"40-59%",IF(G63&lt;0.8,"60-79%","80%+"))))</f>
        <v>20-39%</v>
      </c>
      <c r="L63" s="10" t="str">
        <f aca="false">IF(H63="","No rating",IF(H63&lt;3.5,"Below 3.5",IF(H63&lt;4,"3.5-3.9",IF(H63&lt;4.5,"4.0-4.4","4.5+"))))</f>
        <v>4.0-4.4</v>
      </c>
    </row>
    <row r="64" customFormat="false" ht="15" hidden="false" customHeight="false" outlineLevel="0" collapsed="false">
      <c r="A64" s="10" t="s">
        <v>148</v>
      </c>
      <c r="B64" s="10" t="s">
        <v>149</v>
      </c>
      <c r="C64" s="10" t="s">
        <v>21</v>
      </c>
      <c r="D64" s="10" t="s">
        <v>22</v>
      </c>
      <c r="E64" s="11" t="n">
        <v>999</v>
      </c>
      <c r="F64" s="11" t="n">
        <v>139</v>
      </c>
      <c r="G64" s="12" t="n">
        <v>0.86</v>
      </c>
      <c r="H64" s="13" t="n">
        <v>4</v>
      </c>
      <c r="I64" s="11" t="n">
        <v>1313</v>
      </c>
      <c r="J64" s="11" t="n">
        <f aca="false">E64-F64</f>
        <v>860</v>
      </c>
      <c r="K64" s="10" t="str">
        <f aca="false">IF(G64&lt;0.2,"0-19%",IF(G64&lt;0.4,"20-39%",IF(G64&lt;0.6,"40-59%",IF(G64&lt;0.8,"60-79%","80%+"))))</f>
        <v>80%+</v>
      </c>
      <c r="L64" s="10" t="str">
        <f aca="false">IF(H64="","No rating",IF(H64&lt;3.5,"Below 3.5",IF(H64&lt;4,"3.5-3.9",IF(H64&lt;4.5,"4.0-4.4","4.5+"))))</f>
        <v>4.0-4.4</v>
      </c>
    </row>
    <row r="65" customFormat="false" ht="15" hidden="false" customHeight="false" outlineLevel="0" collapsed="false">
      <c r="A65" s="10" t="s">
        <v>150</v>
      </c>
      <c r="B65" s="10" t="s">
        <v>151</v>
      </c>
      <c r="C65" s="10" t="s">
        <v>21</v>
      </c>
      <c r="D65" s="10" t="s">
        <v>22</v>
      </c>
      <c r="E65" s="11" t="n">
        <v>845</v>
      </c>
      <c r="F65" s="11" t="n">
        <v>329</v>
      </c>
      <c r="G65" s="12" t="n">
        <v>0.61</v>
      </c>
      <c r="H65" s="13" t="n">
        <v>4.2</v>
      </c>
      <c r="I65" s="11" t="n">
        <v>29746</v>
      </c>
      <c r="J65" s="11" t="n">
        <f aca="false">E65-F65</f>
        <v>516</v>
      </c>
      <c r="K65" s="10" t="str">
        <f aca="false">IF(G65&lt;0.2,"0-19%",IF(G65&lt;0.4,"20-39%",IF(G65&lt;0.6,"40-59%",IF(G65&lt;0.8,"60-79%","80%+"))))</f>
        <v>60-79%</v>
      </c>
      <c r="L65" s="10" t="str">
        <f aca="false">IF(H65="","No rating",IF(H65&lt;3.5,"Below 3.5",IF(H65&lt;4,"3.5-3.9",IF(H65&lt;4.5,"4.0-4.4","4.5+"))))</f>
        <v>4.0-4.4</v>
      </c>
    </row>
    <row r="66" customFormat="false" ht="15" hidden="false" customHeight="false" outlineLevel="0" collapsed="false">
      <c r="A66" s="10" t="s">
        <v>152</v>
      </c>
      <c r="B66" s="10" t="s">
        <v>153</v>
      </c>
      <c r="C66" s="10" t="s">
        <v>48</v>
      </c>
      <c r="D66" s="10" t="s">
        <v>49</v>
      </c>
      <c r="E66" s="11" t="n">
        <v>24999</v>
      </c>
      <c r="F66" s="11" t="n">
        <v>13999</v>
      </c>
      <c r="G66" s="12" t="n">
        <v>0.44</v>
      </c>
      <c r="H66" s="13" t="n">
        <v>4.2</v>
      </c>
      <c r="I66" s="11" t="n">
        <v>45238</v>
      </c>
      <c r="J66" s="11" t="n">
        <f aca="false">E66-F66</f>
        <v>11000</v>
      </c>
      <c r="K66" s="10" t="str">
        <f aca="false">IF(G66&lt;0.2,"0-19%",IF(G66&lt;0.4,"20-39%",IF(G66&lt;0.6,"40-59%",IF(G66&lt;0.8,"60-79%","80%+"))))</f>
        <v>40-59%</v>
      </c>
      <c r="L66" s="10" t="str">
        <f aca="false">IF(H66="","No rating",IF(H66&lt;3.5,"Below 3.5",IF(H66&lt;4,"3.5-3.9",IF(H66&lt;4.5,"4.0-4.4","4.5+"))))</f>
        <v>4.0-4.4</v>
      </c>
    </row>
    <row r="67" customFormat="false" ht="15" hidden="false" customHeight="false" outlineLevel="0" collapsed="false">
      <c r="A67" s="10" t="s">
        <v>154</v>
      </c>
      <c r="B67" s="10" t="s">
        <v>155</v>
      </c>
      <c r="C67" s="10" t="s">
        <v>48</v>
      </c>
      <c r="D67" s="10" t="s">
        <v>49</v>
      </c>
      <c r="E67" s="11" t="n">
        <v>1400</v>
      </c>
      <c r="F67" s="11" t="n">
        <v>309</v>
      </c>
      <c r="G67" s="12" t="n">
        <v>0.78</v>
      </c>
      <c r="H67" s="13" t="n">
        <v>4.4</v>
      </c>
      <c r="I67" s="11" t="n">
        <v>426973</v>
      </c>
      <c r="J67" s="11" t="n">
        <f aca="false">E67-F67</f>
        <v>1091</v>
      </c>
      <c r="K67" s="10" t="str">
        <f aca="false">IF(G67&lt;0.2,"0-19%",IF(G67&lt;0.4,"20-39%",IF(G67&lt;0.6,"40-59%",IF(G67&lt;0.8,"60-79%","80%+"))))</f>
        <v>60-79%</v>
      </c>
      <c r="L67" s="10" t="str">
        <f aca="false">IF(H67="","No rating",IF(H67&lt;3.5,"Below 3.5",IF(H67&lt;4,"3.5-3.9",IF(H67&lt;4.5,"4.0-4.4","4.5+"))))</f>
        <v>4.0-4.4</v>
      </c>
    </row>
    <row r="68" customFormat="false" ht="15" hidden="false" customHeight="false" outlineLevel="0" collapsed="false">
      <c r="A68" s="10" t="s">
        <v>156</v>
      </c>
      <c r="B68" s="10" t="s">
        <v>157</v>
      </c>
      <c r="C68" s="10" t="s">
        <v>21</v>
      </c>
      <c r="D68" s="10" t="s">
        <v>22</v>
      </c>
      <c r="E68" s="11" t="n">
        <v>699</v>
      </c>
      <c r="F68" s="11" t="n">
        <v>263</v>
      </c>
      <c r="G68" s="12" t="n">
        <v>0.62</v>
      </c>
      <c r="H68" s="13" t="n">
        <v>4.1</v>
      </c>
      <c r="I68" s="11" t="n">
        <v>450</v>
      </c>
      <c r="J68" s="11" t="n">
        <f aca="false">E68-F68</f>
        <v>436</v>
      </c>
      <c r="K68" s="10" t="str">
        <f aca="false">IF(G68&lt;0.2,"0-19%",IF(G68&lt;0.4,"20-39%",IF(G68&lt;0.6,"40-59%",IF(G68&lt;0.8,"60-79%","80%+"))))</f>
        <v>60-79%</v>
      </c>
      <c r="L68" s="10" t="str">
        <f aca="false">IF(H68="","No rating",IF(H68&lt;3.5,"Below 3.5",IF(H68&lt;4,"3.5-3.9",IF(H68&lt;4.5,"4.0-4.4","4.5+"))))</f>
        <v>4.0-4.4</v>
      </c>
    </row>
    <row r="69" customFormat="false" ht="15" hidden="false" customHeight="false" outlineLevel="0" collapsed="false">
      <c r="A69" s="10" t="s">
        <v>158</v>
      </c>
      <c r="B69" s="10" t="s">
        <v>159</v>
      </c>
      <c r="C69" s="10" t="s">
        <v>48</v>
      </c>
      <c r="D69" s="10" t="s">
        <v>49</v>
      </c>
      <c r="E69" s="11" t="n">
        <v>14990</v>
      </c>
      <c r="F69" s="11" t="n">
        <v>7999</v>
      </c>
      <c r="G69" s="12" t="n">
        <v>0.47</v>
      </c>
      <c r="H69" s="13" t="n">
        <v>4.3</v>
      </c>
      <c r="I69" s="11" t="n">
        <v>457</v>
      </c>
      <c r="J69" s="11" t="n">
        <f aca="false">E69-F69</f>
        <v>6991</v>
      </c>
      <c r="K69" s="10" t="str">
        <f aca="false">IF(G69&lt;0.2,"0-19%",IF(G69&lt;0.4,"20-39%",IF(G69&lt;0.6,"40-59%",IF(G69&lt;0.8,"60-79%","80%+"))))</f>
        <v>40-59%</v>
      </c>
      <c r="L69" s="10" t="str">
        <f aca="false">IF(H69="","No rating",IF(H69&lt;3.5,"Below 3.5",IF(H69&lt;4,"3.5-3.9",IF(H69&lt;4.5,"4.0-4.4","4.5+"))))</f>
        <v>4.0-4.4</v>
      </c>
    </row>
    <row r="70" customFormat="false" ht="15" hidden="false" customHeight="false" outlineLevel="0" collapsed="false">
      <c r="A70" s="10" t="s">
        <v>160</v>
      </c>
      <c r="B70" s="10" t="s">
        <v>161</v>
      </c>
      <c r="C70" s="10" t="s">
        <v>48</v>
      </c>
      <c r="D70" s="10" t="s">
        <v>49</v>
      </c>
      <c r="E70" s="11" t="n">
        <v>2999</v>
      </c>
      <c r="F70" s="11" t="n">
        <v>1599</v>
      </c>
      <c r="G70" s="12" t="n">
        <v>0.47</v>
      </c>
      <c r="H70" s="13" t="n">
        <v>4.2</v>
      </c>
      <c r="I70" s="11" t="n">
        <v>2727</v>
      </c>
      <c r="J70" s="11" t="n">
        <f aca="false">E70-F70</f>
        <v>1400</v>
      </c>
      <c r="K70" s="10" t="str">
        <f aca="false">IF(G70&lt;0.2,"0-19%",IF(G70&lt;0.4,"20-39%",IF(G70&lt;0.6,"40-59%",IF(G70&lt;0.8,"60-79%","80%+"))))</f>
        <v>40-59%</v>
      </c>
      <c r="L70" s="10" t="str">
        <f aca="false">IF(H70="","No rating",IF(H70&lt;3.5,"Below 3.5",IF(H70&lt;4,"3.5-3.9",IF(H70&lt;4.5,"4.0-4.4","4.5+"))))</f>
        <v>4.0-4.4</v>
      </c>
    </row>
    <row r="71" customFormat="false" ht="15" hidden="false" customHeight="false" outlineLevel="0" collapsed="false">
      <c r="A71" s="10" t="s">
        <v>162</v>
      </c>
      <c r="B71" s="10" t="s">
        <v>163</v>
      </c>
      <c r="C71" s="10" t="s">
        <v>21</v>
      </c>
      <c r="D71" s="10" t="s">
        <v>22</v>
      </c>
      <c r="E71" s="11" t="n">
        <v>700</v>
      </c>
      <c r="F71" s="11" t="n">
        <v>219</v>
      </c>
      <c r="G71" s="12" t="n">
        <v>0.69</v>
      </c>
      <c r="H71" s="13" t="n">
        <v>4.3</v>
      </c>
      <c r="I71" s="11" t="n">
        <v>20053</v>
      </c>
      <c r="J71" s="11" t="n">
        <f aca="false">E71-F71</f>
        <v>481</v>
      </c>
      <c r="K71" s="10" t="str">
        <f aca="false">IF(G71&lt;0.2,"0-19%",IF(G71&lt;0.4,"20-39%",IF(G71&lt;0.6,"40-59%",IF(G71&lt;0.8,"60-79%","80%+"))))</f>
        <v>60-79%</v>
      </c>
      <c r="L71" s="10" t="str">
        <f aca="false">IF(H71="","No rating",IF(H71&lt;3.5,"Below 3.5",IF(H71&lt;4,"3.5-3.9",IF(H71&lt;4.5,"4.0-4.4","4.5+"))))</f>
        <v>4.0-4.4</v>
      </c>
    </row>
    <row r="72" customFormat="false" ht="15" hidden="false" customHeight="false" outlineLevel="0" collapsed="false">
      <c r="A72" s="10" t="s">
        <v>164</v>
      </c>
      <c r="B72" s="10" t="s">
        <v>165</v>
      </c>
      <c r="C72" s="10" t="s">
        <v>21</v>
      </c>
      <c r="D72" s="10" t="s">
        <v>22</v>
      </c>
      <c r="E72" s="11" t="n">
        <v>899</v>
      </c>
      <c r="F72" s="11" t="n">
        <v>349</v>
      </c>
      <c r="G72" s="12" t="n">
        <v>0.61</v>
      </c>
      <c r="H72" s="13" t="n">
        <v>4.5</v>
      </c>
      <c r="I72" s="11" t="n">
        <v>149</v>
      </c>
      <c r="J72" s="11" t="n">
        <f aca="false">E72-F72</f>
        <v>550</v>
      </c>
      <c r="K72" s="10" t="str">
        <f aca="false">IF(G72&lt;0.2,"0-19%",IF(G72&lt;0.4,"20-39%",IF(G72&lt;0.6,"40-59%",IF(G72&lt;0.8,"60-79%","80%+"))))</f>
        <v>60-79%</v>
      </c>
      <c r="L72" s="10" t="str">
        <f aca="false">IF(H72="","No rating",IF(H72&lt;3.5,"Below 3.5",IF(H72&lt;4,"3.5-3.9",IF(H72&lt;4.5,"4.0-4.4","4.5+"))))</f>
        <v>4.5+</v>
      </c>
    </row>
    <row r="73" customFormat="false" ht="15" hidden="false" customHeight="false" outlineLevel="0" collapsed="false">
      <c r="A73" s="10" t="s">
        <v>166</v>
      </c>
      <c r="B73" s="10" t="s">
        <v>167</v>
      </c>
      <c r="C73" s="10" t="s">
        <v>21</v>
      </c>
      <c r="D73" s="10" t="s">
        <v>22</v>
      </c>
      <c r="E73" s="11" t="n">
        <v>599</v>
      </c>
      <c r="F73" s="11" t="n">
        <v>349</v>
      </c>
      <c r="G73" s="12" t="n">
        <v>0.42</v>
      </c>
      <c r="H73" s="13" t="n">
        <v>4.1</v>
      </c>
      <c r="I73" s="11" t="n">
        <v>210</v>
      </c>
      <c r="J73" s="11" t="n">
        <f aca="false">E73-F73</f>
        <v>250</v>
      </c>
      <c r="K73" s="10" t="str">
        <f aca="false">IF(G73&lt;0.2,"0-19%",IF(G73&lt;0.4,"20-39%",IF(G73&lt;0.6,"40-59%",IF(G73&lt;0.8,"60-79%","80%+"))))</f>
        <v>40-59%</v>
      </c>
      <c r="L73" s="10" t="str">
        <f aca="false">IF(H73="","No rating",IF(H73&lt;3.5,"Below 3.5",IF(H73&lt;4,"3.5-3.9",IF(H73&lt;4.5,"4.0-4.4","4.5+"))))</f>
        <v>4.0-4.4</v>
      </c>
    </row>
    <row r="74" customFormat="false" ht="15" hidden="false" customHeight="false" outlineLevel="0" collapsed="false">
      <c r="A74" s="10" t="s">
        <v>168</v>
      </c>
      <c r="B74" s="10" t="s">
        <v>169</v>
      </c>
      <c r="C74" s="10" t="s">
        <v>48</v>
      </c>
      <c r="D74" s="10" t="s">
        <v>49</v>
      </c>
      <c r="E74" s="11" t="n">
        <v>42999</v>
      </c>
      <c r="F74" s="11" t="n">
        <v>26999</v>
      </c>
      <c r="G74" s="12" t="n">
        <v>0.37</v>
      </c>
      <c r="H74" s="13" t="n">
        <v>4.2</v>
      </c>
      <c r="I74" s="11" t="n">
        <v>45238</v>
      </c>
      <c r="J74" s="11" t="n">
        <f aca="false">E74-F74</f>
        <v>16000</v>
      </c>
      <c r="K74" s="10" t="str">
        <f aca="false">IF(G74&lt;0.2,"0-19%",IF(G74&lt;0.4,"20-39%",IF(G74&lt;0.6,"40-59%",IF(G74&lt;0.8,"60-79%","80%+"))))</f>
        <v>20-39%</v>
      </c>
      <c r="L74" s="10" t="str">
        <f aca="false">IF(H74="","No rating",IF(H74&lt;3.5,"Below 3.5",IF(H74&lt;4,"3.5-3.9",IF(H74&lt;4.5,"4.0-4.4","4.5+"))))</f>
        <v>4.0-4.4</v>
      </c>
    </row>
    <row r="75" customFormat="false" ht="15" hidden="false" customHeight="false" outlineLevel="0" collapsed="false">
      <c r="A75" s="10" t="s">
        <v>170</v>
      </c>
      <c r="B75" s="10" t="s">
        <v>171</v>
      </c>
      <c r="C75" s="10" t="s">
        <v>21</v>
      </c>
      <c r="D75" s="10" t="s">
        <v>22</v>
      </c>
      <c r="E75" s="11" t="n">
        <v>499</v>
      </c>
      <c r="F75" s="11" t="n">
        <v>115</v>
      </c>
      <c r="G75" s="12" t="n">
        <v>0.77</v>
      </c>
      <c r="H75" s="13" t="n">
        <v>4</v>
      </c>
      <c r="I75" s="11" t="n">
        <v>7732</v>
      </c>
      <c r="J75" s="11" t="n">
        <f aca="false">E75-F75</f>
        <v>384</v>
      </c>
      <c r="K75" s="10" t="str">
        <f aca="false">IF(G75&lt;0.2,"0-19%",IF(G75&lt;0.4,"20-39%",IF(G75&lt;0.6,"40-59%",IF(G75&lt;0.8,"60-79%","80%+"))))</f>
        <v>60-79%</v>
      </c>
      <c r="L75" s="10" t="str">
        <f aca="false">IF(H75="","No rating",IF(H75&lt;3.5,"Below 3.5",IF(H75&lt;4,"3.5-3.9",IF(H75&lt;4.5,"4.0-4.4","4.5+"))))</f>
        <v>4.0-4.4</v>
      </c>
    </row>
    <row r="76" customFormat="false" ht="15" hidden="false" customHeight="false" outlineLevel="0" collapsed="false">
      <c r="A76" s="10" t="s">
        <v>172</v>
      </c>
      <c r="B76" s="10" t="s">
        <v>173</v>
      </c>
      <c r="C76" s="10" t="s">
        <v>21</v>
      </c>
      <c r="D76" s="10" t="s">
        <v>22</v>
      </c>
      <c r="E76" s="11" t="n">
        <v>999</v>
      </c>
      <c r="F76" s="11" t="n">
        <v>399</v>
      </c>
      <c r="G76" s="12" t="n">
        <v>0.6</v>
      </c>
      <c r="H76" s="13" t="n">
        <v>4.1</v>
      </c>
      <c r="I76" s="11" t="n">
        <v>1780</v>
      </c>
      <c r="J76" s="11" t="n">
        <f aca="false">E76-F76</f>
        <v>600</v>
      </c>
      <c r="K76" s="10" t="str">
        <f aca="false">IF(G76&lt;0.2,"0-19%",IF(G76&lt;0.4,"20-39%",IF(G76&lt;0.6,"40-59%",IF(G76&lt;0.8,"60-79%","80%+"))))</f>
        <v>60-79%</v>
      </c>
      <c r="L76" s="10" t="str">
        <f aca="false">IF(H76="","No rating",IF(H76&lt;3.5,"Below 3.5",IF(H76&lt;4,"3.5-3.9",IF(H76&lt;4.5,"4.0-4.4","4.5+"))))</f>
        <v>4.0-4.4</v>
      </c>
    </row>
    <row r="77" customFormat="false" ht="15" hidden="false" customHeight="false" outlineLevel="0" collapsed="false">
      <c r="A77" s="10" t="s">
        <v>174</v>
      </c>
      <c r="B77" s="10" t="s">
        <v>175</v>
      </c>
      <c r="C77" s="10" t="s">
        <v>21</v>
      </c>
      <c r="D77" s="10" t="s">
        <v>22</v>
      </c>
      <c r="E77" s="11" t="n">
        <v>499</v>
      </c>
      <c r="F77" s="11" t="n">
        <v>199</v>
      </c>
      <c r="G77" s="12" t="n">
        <v>0.6</v>
      </c>
      <c r="H77" s="13" t="n">
        <v>4.1</v>
      </c>
      <c r="I77" s="11" t="n">
        <v>602</v>
      </c>
      <c r="J77" s="11" t="n">
        <f aca="false">E77-F77</f>
        <v>300</v>
      </c>
      <c r="K77" s="10" t="str">
        <f aca="false">IF(G77&lt;0.2,"0-19%",IF(G77&lt;0.4,"20-39%",IF(G77&lt;0.6,"40-59%",IF(G77&lt;0.8,"60-79%","80%+"))))</f>
        <v>60-79%</v>
      </c>
      <c r="L77" s="10" t="str">
        <f aca="false">IF(H77="","No rating",IF(H77&lt;3.5,"Below 3.5",IF(H77&lt;4,"3.5-3.9",IF(H77&lt;4.5,"4.0-4.4","4.5+"))))</f>
        <v>4.0-4.4</v>
      </c>
    </row>
    <row r="78" customFormat="false" ht="15" hidden="false" customHeight="false" outlineLevel="0" collapsed="false">
      <c r="A78" s="10" t="s">
        <v>176</v>
      </c>
      <c r="B78" s="10" t="s">
        <v>177</v>
      </c>
      <c r="C78" s="10" t="s">
        <v>21</v>
      </c>
      <c r="D78" s="10" t="s">
        <v>22</v>
      </c>
      <c r="E78" s="11" t="n">
        <v>399</v>
      </c>
      <c r="F78" s="11" t="n">
        <v>179</v>
      </c>
      <c r="G78" s="12" t="n">
        <v>0.55</v>
      </c>
      <c r="H78" s="13" t="n">
        <v>4</v>
      </c>
      <c r="I78" s="11" t="n">
        <v>1423</v>
      </c>
      <c r="J78" s="11" t="n">
        <f aca="false">E78-F78</f>
        <v>220</v>
      </c>
      <c r="K78" s="10" t="str">
        <f aca="false">IF(G78&lt;0.2,"0-19%",IF(G78&lt;0.4,"20-39%",IF(G78&lt;0.6,"40-59%",IF(G78&lt;0.8,"60-79%","80%+"))))</f>
        <v>40-59%</v>
      </c>
      <c r="L78" s="10" t="str">
        <f aca="false">IF(H78="","No rating",IF(H78&lt;3.5,"Below 3.5",IF(H78&lt;4,"3.5-3.9",IF(H78&lt;4.5,"4.0-4.4","4.5+"))))</f>
        <v>4.0-4.4</v>
      </c>
    </row>
    <row r="79" customFormat="false" ht="15" hidden="false" customHeight="false" outlineLevel="0" collapsed="false">
      <c r="A79" s="10" t="s">
        <v>178</v>
      </c>
      <c r="B79" s="10" t="s">
        <v>179</v>
      </c>
      <c r="C79" s="10" t="s">
        <v>48</v>
      </c>
      <c r="D79" s="10" t="s">
        <v>49</v>
      </c>
      <c r="E79" s="11" t="n">
        <v>30990</v>
      </c>
      <c r="F79" s="11" t="n">
        <v>10901</v>
      </c>
      <c r="G79" s="12" t="n">
        <v>0.65</v>
      </c>
      <c r="H79" s="13" t="n">
        <v>4.1</v>
      </c>
      <c r="I79" s="11" t="n">
        <v>398</v>
      </c>
      <c r="J79" s="11" t="n">
        <f aca="false">E79-F79</f>
        <v>20089</v>
      </c>
      <c r="K79" s="10" t="str">
        <f aca="false">IF(G79&lt;0.2,"0-19%",IF(G79&lt;0.4,"20-39%",IF(G79&lt;0.6,"40-59%",IF(G79&lt;0.8,"60-79%","80%+"))))</f>
        <v>60-79%</v>
      </c>
      <c r="L79" s="10" t="str">
        <f aca="false">IF(H79="","No rating",IF(H79&lt;3.5,"Below 3.5",IF(H79&lt;4,"3.5-3.9",IF(H79&lt;4.5,"4.0-4.4","4.5+"))))</f>
        <v>4.0-4.4</v>
      </c>
    </row>
    <row r="80" customFormat="false" ht="15" hidden="false" customHeight="false" outlineLevel="0" collapsed="false">
      <c r="A80" s="10" t="s">
        <v>180</v>
      </c>
      <c r="B80" s="10" t="s">
        <v>181</v>
      </c>
      <c r="C80" s="10" t="s">
        <v>21</v>
      </c>
      <c r="D80" s="10" t="s">
        <v>22</v>
      </c>
      <c r="E80" s="11" t="n">
        <v>499</v>
      </c>
      <c r="F80" s="11" t="n">
        <v>209</v>
      </c>
      <c r="G80" s="12" t="n">
        <v>0.58</v>
      </c>
      <c r="H80" s="13" t="n">
        <v>3.9</v>
      </c>
      <c r="I80" s="11" t="n">
        <v>536</v>
      </c>
      <c r="J80" s="11" t="n">
        <f aca="false">E80-F80</f>
        <v>290</v>
      </c>
      <c r="K80" s="10" t="str">
        <f aca="false">IF(G80&lt;0.2,"0-19%",IF(G80&lt;0.4,"20-39%",IF(G80&lt;0.6,"40-59%",IF(G80&lt;0.8,"60-79%","80%+"))))</f>
        <v>40-59%</v>
      </c>
      <c r="L80" s="10" t="str">
        <f aca="false">IF(H80="","No rating",IF(H80&lt;3.5,"Below 3.5",IF(H80&lt;4,"3.5-3.9",IF(H80&lt;4.5,"4.0-4.4","4.5+"))))</f>
        <v>3.5-3.9</v>
      </c>
    </row>
    <row r="81" customFormat="false" ht="15" hidden="false" customHeight="false" outlineLevel="0" collapsed="false">
      <c r="A81" s="10" t="s">
        <v>182</v>
      </c>
      <c r="B81" s="10" t="s">
        <v>183</v>
      </c>
      <c r="C81" s="10" t="s">
        <v>48</v>
      </c>
      <c r="D81" s="10" t="s">
        <v>49</v>
      </c>
      <c r="E81" s="11" t="n">
        <v>3999</v>
      </c>
      <c r="F81" s="11" t="n">
        <v>1434</v>
      </c>
      <c r="G81" s="12" t="n">
        <v>0.64</v>
      </c>
      <c r="H81" s="13" t="n">
        <v>4</v>
      </c>
      <c r="I81" s="11" t="n">
        <v>32</v>
      </c>
      <c r="J81" s="11" t="n">
        <f aca="false">E81-F81</f>
        <v>2565</v>
      </c>
      <c r="K81" s="10" t="str">
        <f aca="false">IF(G81&lt;0.2,"0-19%",IF(G81&lt;0.4,"20-39%",IF(G81&lt;0.6,"40-59%",IF(G81&lt;0.8,"60-79%","80%+"))))</f>
        <v>60-79%</v>
      </c>
      <c r="L81" s="10" t="str">
        <f aca="false">IF(H81="","No rating",IF(H81&lt;3.5,"Below 3.5",IF(H81&lt;4,"3.5-3.9",IF(H81&lt;4.5,"4.0-4.4","4.5+"))))</f>
        <v>4.0-4.4</v>
      </c>
    </row>
    <row r="82" customFormat="false" ht="15" hidden="false" customHeight="false" outlineLevel="0" collapsed="false">
      <c r="A82" s="10" t="s">
        <v>184</v>
      </c>
      <c r="B82" s="10" t="s">
        <v>185</v>
      </c>
      <c r="C82" s="10" t="s">
        <v>21</v>
      </c>
      <c r="D82" s="10" t="s">
        <v>22</v>
      </c>
      <c r="E82" s="11" t="n">
        <v>1099</v>
      </c>
      <c r="F82" s="11" t="n">
        <v>399</v>
      </c>
      <c r="G82" s="12" t="n">
        <v>0.64</v>
      </c>
      <c r="H82" s="13" t="n">
        <v>4.2</v>
      </c>
      <c r="I82" s="11" t="n">
        <v>24269</v>
      </c>
      <c r="J82" s="11" t="n">
        <f aca="false">E82-F82</f>
        <v>700</v>
      </c>
      <c r="K82" s="10" t="str">
        <f aca="false">IF(G82&lt;0.2,"0-19%",IF(G82&lt;0.4,"20-39%",IF(G82&lt;0.6,"40-59%",IF(G82&lt;0.8,"60-79%","80%+"))))</f>
        <v>60-79%</v>
      </c>
      <c r="L82" s="10" t="str">
        <f aca="false">IF(H82="","No rating",IF(H82&lt;3.5,"Below 3.5",IF(H82&lt;4,"3.5-3.9",IF(H82&lt;4.5,"4.0-4.4","4.5+"))))</f>
        <v>4.0-4.4</v>
      </c>
    </row>
    <row r="83" customFormat="false" ht="15" hidden="false" customHeight="false" outlineLevel="0" collapsed="false">
      <c r="A83" s="10" t="s">
        <v>186</v>
      </c>
      <c r="B83" s="10" t="s">
        <v>187</v>
      </c>
      <c r="C83" s="10" t="s">
        <v>21</v>
      </c>
      <c r="D83" s="10" t="s">
        <v>22</v>
      </c>
      <c r="E83" s="11" t="n">
        <v>249</v>
      </c>
      <c r="F83" s="11" t="n">
        <v>139</v>
      </c>
      <c r="G83" s="12" t="n">
        <v>0.44</v>
      </c>
      <c r="H83" s="13" t="n">
        <v>4</v>
      </c>
      <c r="I83" s="11" t="n">
        <v>9378</v>
      </c>
      <c r="J83" s="11" t="n">
        <f aca="false">E83-F83</f>
        <v>110</v>
      </c>
      <c r="K83" s="10" t="str">
        <f aca="false">IF(G83&lt;0.2,"0-19%",IF(G83&lt;0.4,"20-39%",IF(G83&lt;0.6,"40-59%",IF(G83&lt;0.8,"60-79%","80%+"))))</f>
        <v>40-59%</v>
      </c>
      <c r="L83" s="10" t="str">
        <f aca="false">IF(H83="","No rating",IF(H83&lt;3.5,"Below 3.5",IF(H83&lt;4,"3.5-3.9",IF(H83&lt;4.5,"4.0-4.4","4.5+"))))</f>
        <v>4.0-4.4</v>
      </c>
    </row>
    <row r="84" customFormat="false" ht="15" hidden="false" customHeight="false" outlineLevel="0" collapsed="false">
      <c r="A84" s="10" t="s">
        <v>188</v>
      </c>
      <c r="B84" s="10" t="s">
        <v>189</v>
      </c>
      <c r="C84" s="10" t="s">
        <v>48</v>
      </c>
      <c r="D84" s="10" t="s">
        <v>49</v>
      </c>
      <c r="E84" s="11" t="n">
        <v>19125</v>
      </c>
      <c r="F84" s="11" t="n">
        <v>7299</v>
      </c>
      <c r="G84" s="12" t="n">
        <v>0.62</v>
      </c>
      <c r="H84" s="13" t="n">
        <v>3.4</v>
      </c>
      <c r="I84" s="11" t="n">
        <v>902</v>
      </c>
      <c r="J84" s="11" t="n">
        <f aca="false">E84-F84</f>
        <v>11826</v>
      </c>
      <c r="K84" s="10" t="str">
        <f aca="false">IF(G84&lt;0.2,"0-19%",IF(G84&lt;0.4,"20-39%",IF(G84&lt;0.6,"40-59%",IF(G84&lt;0.8,"60-79%","80%+"))))</f>
        <v>60-79%</v>
      </c>
      <c r="L84" s="10" t="str">
        <f aca="false">IF(H84="","No rating",IF(H84&lt;3.5,"Below 3.5",IF(H84&lt;4,"3.5-3.9",IF(H84&lt;4.5,"4.0-4.4","4.5+"))))</f>
        <v>Below 3.5</v>
      </c>
    </row>
    <row r="85" customFormat="false" ht="15" hidden="false" customHeight="false" outlineLevel="0" collapsed="false">
      <c r="A85" s="10" t="s">
        <v>190</v>
      </c>
      <c r="B85" s="10" t="s">
        <v>191</v>
      </c>
      <c r="C85" s="10" t="s">
        <v>21</v>
      </c>
      <c r="D85" s="10" t="s">
        <v>22</v>
      </c>
      <c r="E85" s="11" t="n">
        <v>799</v>
      </c>
      <c r="F85" s="11" t="n">
        <v>299</v>
      </c>
      <c r="G85" s="12" t="n">
        <v>0.63</v>
      </c>
      <c r="H85" s="13" t="n">
        <v>4.4</v>
      </c>
      <c r="I85" s="11" t="n">
        <v>28791</v>
      </c>
      <c r="J85" s="11" t="n">
        <f aca="false">E85-F85</f>
        <v>500</v>
      </c>
      <c r="K85" s="10" t="str">
        <f aca="false">IF(G85&lt;0.2,"0-19%",IF(G85&lt;0.4,"20-39%",IF(G85&lt;0.6,"40-59%",IF(G85&lt;0.8,"60-79%","80%+"))))</f>
        <v>60-79%</v>
      </c>
      <c r="L85" s="10" t="str">
        <f aca="false">IF(H85="","No rating",IF(H85&lt;3.5,"Below 3.5",IF(H85&lt;4,"3.5-3.9",IF(H85&lt;4.5,"4.0-4.4","4.5+"))))</f>
        <v>4.0-4.4</v>
      </c>
    </row>
    <row r="86" customFormat="false" ht="15" hidden="false" customHeight="false" outlineLevel="0" collapsed="false">
      <c r="A86" s="10" t="s">
        <v>192</v>
      </c>
      <c r="B86" s="10" t="s">
        <v>193</v>
      </c>
      <c r="C86" s="10" t="s">
        <v>21</v>
      </c>
      <c r="D86" s="10" t="s">
        <v>22</v>
      </c>
      <c r="E86" s="11" t="n">
        <v>1299</v>
      </c>
      <c r="F86" s="11" t="n">
        <v>325</v>
      </c>
      <c r="G86" s="12" t="n">
        <v>0.75</v>
      </c>
      <c r="H86" s="13" t="n">
        <v>4.2</v>
      </c>
      <c r="I86" s="11" t="n">
        <v>10576</v>
      </c>
      <c r="J86" s="11" t="n">
        <f aca="false">E86-F86</f>
        <v>974</v>
      </c>
      <c r="K86" s="10" t="str">
        <f aca="false">IF(G86&lt;0.2,"0-19%",IF(G86&lt;0.4,"20-39%",IF(G86&lt;0.6,"40-59%",IF(G86&lt;0.8,"60-79%","80%+"))))</f>
        <v>60-79%</v>
      </c>
      <c r="L86" s="10" t="str">
        <f aca="false">IF(H86="","No rating",IF(H86&lt;3.5,"Below 3.5",IF(H86&lt;4,"3.5-3.9",IF(H86&lt;4.5,"4.0-4.4","4.5+"))))</f>
        <v>4.0-4.4</v>
      </c>
    </row>
    <row r="87" customFormat="false" ht="15" hidden="false" customHeight="false" outlineLevel="0" collapsed="false">
      <c r="A87" s="10" t="s">
        <v>194</v>
      </c>
      <c r="B87" s="10" t="s">
        <v>195</v>
      </c>
      <c r="C87" s="10" t="s">
        <v>48</v>
      </c>
      <c r="D87" s="10" t="s">
        <v>49</v>
      </c>
      <c r="E87" s="11" t="n">
        <v>39999</v>
      </c>
      <c r="F87" s="11" t="n">
        <v>29999</v>
      </c>
      <c r="G87" s="12" t="n">
        <v>0.25</v>
      </c>
      <c r="H87" s="13" t="n">
        <v>4.2</v>
      </c>
      <c r="I87" s="11" t="n">
        <v>7298</v>
      </c>
      <c r="J87" s="11" t="n">
        <f aca="false">E87-F87</f>
        <v>10000</v>
      </c>
      <c r="K87" s="10" t="str">
        <f aca="false">IF(G87&lt;0.2,"0-19%",IF(G87&lt;0.4,"20-39%",IF(G87&lt;0.6,"40-59%",IF(G87&lt;0.8,"60-79%","80%+"))))</f>
        <v>20-39%</v>
      </c>
      <c r="L87" s="10" t="str">
        <f aca="false">IF(H87="","No rating",IF(H87&lt;3.5,"Below 3.5",IF(H87&lt;4,"3.5-3.9",IF(H87&lt;4.5,"4.0-4.4","4.5+"))))</f>
        <v>4.0-4.4</v>
      </c>
    </row>
    <row r="88" customFormat="false" ht="15" hidden="false" customHeight="false" outlineLevel="0" collapsed="false">
      <c r="A88" s="10" t="s">
        <v>196</v>
      </c>
      <c r="B88" s="10" t="s">
        <v>197</v>
      </c>
      <c r="C88" s="10" t="s">
        <v>48</v>
      </c>
      <c r="D88" s="10" t="s">
        <v>49</v>
      </c>
      <c r="E88" s="11" t="n">
        <v>40990</v>
      </c>
      <c r="F88" s="11" t="n">
        <v>27999</v>
      </c>
      <c r="G88" s="12" t="n">
        <v>0.32</v>
      </c>
      <c r="H88" s="13" t="n">
        <v>4.3</v>
      </c>
      <c r="I88" s="11" t="n">
        <v>4703</v>
      </c>
      <c r="J88" s="11" t="n">
        <f aca="false">E88-F88</f>
        <v>12991</v>
      </c>
      <c r="K88" s="10" t="str">
        <f aca="false">IF(G88&lt;0.2,"0-19%",IF(G88&lt;0.4,"20-39%",IF(G88&lt;0.6,"40-59%",IF(G88&lt;0.8,"60-79%","80%+"))))</f>
        <v>20-39%</v>
      </c>
      <c r="L88" s="10" t="str">
        <f aca="false">IF(H88="","No rating",IF(H88&lt;3.5,"Below 3.5",IF(H88&lt;4,"3.5-3.9",IF(H88&lt;4.5,"4.0-4.4","4.5+"))))</f>
        <v>4.0-4.4</v>
      </c>
    </row>
    <row r="89" customFormat="false" ht="15" hidden="false" customHeight="false" outlineLevel="0" collapsed="false">
      <c r="A89" s="10" t="s">
        <v>198</v>
      </c>
      <c r="B89" s="10" t="s">
        <v>199</v>
      </c>
      <c r="C89" s="10" t="s">
        <v>48</v>
      </c>
      <c r="D89" s="10" t="s">
        <v>49</v>
      </c>
      <c r="E89" s="11" t="n">
        <v>52900</v>
      </c>
      <c r="F89" s="11" t="n">
        <v>30990</v>
      </c>
      <c r="G89" s="12" t="n">
        <v>0.41</v>
      </c>
      <c r="H89" s="13" t="n">
        <v>4.3</v>
      </c>
      <c r="I89" s="11" t="n">
        <v>7109</v>
      </c>
      <c r="J89" s="11" t="n">
        <f aca="false">E89-F89</f>
        <v>21910</v>
      </c>
      <c r="K89" s="10" t="str">
        <f aca="false">IF(G89&lt;0.2,"0-19%",IF(G89&lt;0.4,"20-39%",IF(G89&lt;0.6,"40-59%",IF(G89&lt;0.8,"60-79%","80%+"))))</f>
        <v>40-59%</v>
      </c>
      <c r="L89" s="10" t="str">
        <f aca="false">IF(H89="","No rating",IF(H89&lt;3.5,"Below 3.5",IF(H89&lt;4,"3.5-3.9",IF(H89&lt;4.5,"4.0-4.4","4.5+"))))</f>
        <v>4.0-4.4</v>
      </c>
    </row>
    <row r="90" customFormat="false" ht="15" hidden="false" customHeight="false" outlineLevel="0" collapsed="false">
      <c r="A90" s="10" t="s">
        <v>200</v>
      </c>
      <c r="B90" s="10" t="s">
        <v>201</v>
      </c>
      <c r="C90" s="10" t="s">
        <v>21</v>
      </c>
      <c r="D90" s="10" t="s">
        <v>22</v>
      </c>
      <c r="E90" s="11" t="n">
        <v>999</v>
      </c>
      <c r="F90" s="11" t="n">
        <v>199</v>
      </c>
      <c r="G90" s="12" t="n">
        <v>0.8</v>
      </c>
      <c r="H90" s="13" t="n">
        <v>4.5</v>
      </c>
      <c r="I90" s="11" t="n">
        <v>127</v>
      </c>
      <c r="J90" s="11" t="n">
        <f aca="false">E90-F90</f>
        <v>800</v>
      </c>
      <c r="K90" s="10" t="str">
        <f aca="false">IF(G90&lt;0.2,"0-19%",IF(G90&lt;0.4,"20-39%",IF(G90&lt;0.6,"40-59%",IF(G90&lt;0.8,"60-79%","80%+"))))</f>
        <v>80%+</v>
      </c>
      <c r="L90" s="10" t="str">
        <f aca="false">IF(H90="","No rating",IF(H90&lt;3.5,"Below 3.5",IF(H90&lt;4,"3.5-3.9",IF(H90&lt;4.5,"4.0-4.4","4.5+"))))</f>
        <v>4.5+</v>
      </c>
    </row>
    <row r="91" customFormat="false" ht="15" hidden="false" customHeight="false" outlineLevel="0" collapsed="false">
      <c r="A91" s="10" t="s">
        <v>202</v>
      </c>
      <c r="B91" s="10" t="s">
        <v>203</v>
      </c>
      <c r="C91" s="10" t="s">
        <v>21</v>
      </c>
      <c r="D91" s="10" t="s">
        <v>22</v>
      </c>
      <c r="E91" s="11" t="n">
        <v>1999</v>
      </c>
      <c r="F91" s="11" t="n">
        <v>649</v>
      </c>
      <c r="G91" s="12" t="n">
        <v>0.68</v>
      </c>
      <c r="H91" s="13" t="n">
        <v>4.2</v>
      </c>
      <c r="I91" s="11" t="n">
        <v>24269</v>
      </c>
      <c r="J91" s="11" t="n">
        <f aca="false">E91-F91</f>
        <v>1350</v>
      </c>
      <c r="K91" s="10" t="str">
        <f aca="false">IF(G91&lt;0.2,"0-19%",IF(G91&lt;0.4,"20-39%",IF(G91&lt;0.6,"40-59%",IF(G91&lt;0.8,"60-79%","80%+"))))</f>
        <v>60-79%</v>
      </c>
      <c r="L91" s="10" t="str">
        <f aca="false">IF(H91="","No rating",IF(H91&lt;3.5,"Below 3.5",IF(H91&lt;4,"3.5-3.9",IF(H91&lt;4.5,"4.0-4.4","4.5+"))))</f>
        <v>4.0-4.4</v>
      </c>
    </row>
    <row r="92" customFormat="false" ht="15" hidden="false" customHeight="false" outlineLevel="0" collapsed="false">
      <c r="A92" s="10" t="s">
        <v>204</v>
      </c>
      <c r="B92" s="10" t="s">
        <v>205</v>
      </c>
      <c r="C92" s="10" t="s">
        <v>21</v>
      </c>
      <c r="D92" s="10" t="s">
        <v>39</v>
      </c>
      <c r="E92" s="11" t="n">
        <v>800</v>
      </c>
      <c r="F92" s="11" t="n">
        <v>269</v>
      </c>
      <c r="G92" s="12" t="n">
        <v>0.66</v>
      </c>
      <c r="H92" s="13" t="n">
        <v>3.6</v>
      </c>
      <c r="I92" s="11" t="n">
        <v>10134</v>
      </c>
      <c r="J92" s="11" t="n">
        <f aca="false">E92-F92</f>
        <v>531</v>
      </c>
      <c r="K92" s="10" t="str">
        <f aca="false">IF(G92&lt;0.2,"0-19%",IF(G92&lt;0.4,"20-39%",IF(G92&lt;0.6,"40-59%",IF(G92&lt;0.8,"60-79%","80%+"))))</f>
        <v>60-79%</v>
      </c>
      <c r="L92" s="10" t="str">
        <f aca="false">IF(H92="","No rating",IF(H92&lt;3.5,"Below 3.5",IF(H92&lt;4,"3.5-3.9",IF(H92&lt;4.5,"4.0-4.4","4.5+"))))</f>
        <v>3.5-3.9</v>
      </c>
    </row>
    <row r="93" customFormat="false" ht="15" hidden="false" customHeight="false" outlineLevel="0" collapsed="false">
      <c r="A93" s="10" t="s">
        <v>206</v>
      </c>
      <c r="B93" s="10" t="s">
        <v>207</v>
      </c>
      <c r="C93" s="10" t="s">
        <v>48</v>
      </c>
      <c r="D93" s="10" t="s">
        <v>49</v>
      </c>
      <c r="E93" s="11" t="n">
        <v>31999</v>
      </c>
      <c r="F93" s="11" t="n">
        <v>24999</v>
      </c>
      <c r="G93" s="12" t="n">
        <v>0.22</v>
      </c>
      <c r="H93" s="13" t="n">
        <v>4.2</v>
      </c>
      <c r="I93" s="11" t="n">
        <v>34899</v>
      </c>
      <c r="J93" s="11" t="n">
        <f aca="false">E93-F93</f>
        <v>7000</v>
      </c>
      <c r="K93" s="10" t="str">
        <f aca="false">IF(G93&lt;0.2,"0-19%",IF(G93&lt;0.4,"20-39%",IF(G93&lt;0.6,"40-59%",IF(G93&lt;0.8,"60-79%","80%+"))))</f>
        <v>20-39%</v>
      </c>
      <c r="L93" s="10" t="str">
        <f aca="false">IF(H93="","No rating",IF(H93&lt;3.5,"Below 3.5",IF(H93&lt;4,"3.5-3.9",IF(H93&lt;4.5,"4.0-4.4","4.5+"))))</f>
        <v>4.0-4.4</v>
      </c>
    </row>
    <row r="94" customFormat="false" ht="15" hidden="false" customHeight="false" outlineLevel="0" collapsed="false">
      <c r="A94" s="10" t="s">
        <v>208</v>
      </c>
      <c r="B94" s="10" t="s">
        <v>209</v>
      </c>
      <c r="C94" s="10" t="s">
        <v>21</v>
      </c>
      <c r="D94" s="10" t="s">
        <v>22</v>
      </c>
      <c r="E94" s="11" t="n">
        <v>699</v>
      </c>
      <c r="F94" s="11" t="n">
        <v>299</v>
      </c>
      <c r="G94" s="12" t="n">
        <v>0.57</v>
      </c>
      <c r="H94" s="13" t="n">
        <v>4.2</v>
      </c>
      <c r="I94" s="11" t="n">
        <v>94363</v>
      </c>
      <c r="J94" s="11" t="n">
        <f aca="false">E94-F94</f>
        <v>400</v>
      </c>
      <c r="K94" s="10" t="str">
        <f aca="false">IF(G94&lt;0.2,"0-19%",IF(G94&lt;0.4,"20-39%",IF(G94&lt;0.6,"40-59%",IF(G94&lt;0.8,"60-79%","80%+"))))</f>
        <v>40-59%</v>
      </c>
      <c r="L94" s="10" t="str">
        <f aca="false">IF(H94="","No rating",IF(H94&lt;3.5,"Below 3.5",IF(H94&lt;4,"3.5-3.9",IF(H94&lt;4.5,"4.0-4.4","4.5+"))))</f>
        <v>4.0-4.4</v>
      </c>
    </row>
    <row r="95" customFormat="false" ht="15" hidden="false" customHeight="false" outlineLevel="0" collapsed="false">
      <c r="A95" s="10" t="s">
        <v>210</v>
      </c>
      <c r="B95" s="10" t="s">
        <v>211</v>
      </c>
      <c r="C95" s="10" t="s">
        <v>21</v>
      </c>
      <c r="D95" s="10" t="s">
        <v>22</v>
      </c>
      <c r="E95" s="11" t="n">
        <v>999</v>
      </c>
      <c r="F95" s="11" t="n">
        <v>199</v>
      </c>
      <c r="G95" s="12" t="n">
        <v>0.8</v>
      </c>
      <c r="H95" s="13" t="n">
        <v>4.1</v>
      </c>
      <c r="I95" s="11" t="n">
        <v>425</v>
      </c>
      <c r="J95" s="11" t="n">
        <f aca="false">E95-F95</f>
        <v>800</v>
      </c>
      <c r="K95" s="10" t="str">
        <f aca="false">IF(G95&lt;0.2,"0-19%",IF(G95&lt;0.4,"20-39%",IF(G95&lt;0.6,"40-59%",IF(G95&lt;0.8,"60-79%","80%+"))))</f>
        <v>80%+</v>
      </c>
      <c r="L95" s="10" t="str">
        <f aca="false">IF(H95="","No rating",IF(H95&lt;3.5,"Below 3.5",IF(H95&lt;4,"3.5-3.9",IF(H95&lt;4.5,"4.0-4.4","4.5+"))))</f>
        <v>4.0-4.4</v>
      </c>
    </row>
    <row r="96" customFormat="false" ht="15" hidden="false" customHeight="false" outlineLevel="0" collapsed="false">
      <c r="A96" s="10" t="s">
        <v>212</v>
      </c>
      <c r="B96" s="10" t="s">
        <v>213</v>
      </c>
      <c r="C96" s="10" t="s">
        <v>48</v>
      </c>
      <c r="D96" s="10" t="s">
        <v>49</v>
      </c>
      <c r="E96" s="11" t="n">
        <v>40990</v>
      </c>
      <c r="F96" s="11" t="n">
        <v>18990</v>
      </c>
      <c r="G96" s="12" t="n">
        <v>0.54</v>
      </c>
      <c r="H96" s="13" t="n">
        <v>4.2</v>
      </c>
      <c r="I96" s="11" t="n">
        <v>6659</v>
      </c>
      <c r="J96" s="11" t="n">
        <f aca="false">E96-F96</f>
        <v>22000</v>
      </c>
      <c r="K96" s="10" t="str">
        <f aca="false">IF(G96&lt;0.2,"0-19%",IF(G96&lt;0.4,"20-39%",IF(G96&lt;0.6,"40-59%",IF(G96&lt;0.8,"60-79%","80%+"))))</f>
        <v>40-59%</v>
      </c>
      <c r="L96" s="10" t="str">
        <f aca="false">IF(H96="","No rating",IF(H96&lt;3.5,"Below 3.5",IF(H96&lt;4,"3.5-3.9",IF(H96&lt;4.5,"4.0-4.4","4.5+"))))</f>
        <v>4.0-4.4</v>
      </c>
    </row>
    <row r="97" customFormat="false" ht="15" hidden="false" customHeight="false" outlineLevel="0" collapsed="false">
      <c r="A97" s="10" t="s">
        <v>214</v>
      </c>
      <c r="B97" s="10" t="s">
        <v>215</v>
      </c>
      <c r="C97" s="10" t="s">
        <v>21</v>
      </c>
      <c r="D97" s="10" t="s">
        <v>39</v>
      </c>
      <c r="E97" s="11" t="n">
        <v>349</v>
      </c>
      <c r="F97" s="11" t="n">
        <v>290</v>
      </c>
      <c r="G97" s="12" t="n">
        <v>0.17</v>
      </c>
      <c r="H97" s="13" t="n">
        <v>3.7</v>
      </c>
      <c r="I97" s="11" t="n">
        <v>1977</v>
      </c>
      <c r="J97" s="11" t="n">
        <f aca="false">E97-F97</f>
        <v>59</v>
      </c>
      <c r="K97" s="10" t="str">
        <f aca="false">IF(G97&lt;0.2,"0-19%",IF(G97&lt;0.4,"20-39%",IF(G97&lt;0.6,"40-59%",IF(G97&lt;0.8,"60-79%","80%+"))))</f>
        <v>0-19%</v>
      </c>
      <c r="L97" s="10" t="str">
        <f aca="false">IF(H97="","No rating",IF(H97&lt;3.5,"Below 3.5",IF(H97&lt;4,"3.5-3.9",IF(H97&lt;4.5,"4.0-4.4","4.5+"))))</f>
        <v>3.5-3.9</v>
      </c>
    </row>
    <row r="98" customFormat="false" ht="15" hidden="false" customHeight="false" outlineLevel="0" collapsed="false">
      <c r="A98" s="10" t="s">
        <v>216</v>
      </c>
      <c r="B98" s="10" t="s">
        <v>217</v>
      </c>
      <c r="C98" s="10" t="s">
        <v>48</v>
      </c>
      <c r="D98" s="10" t="s">
        <v>49</v>
      </c>
      <c r="E98" s="11" t="n">
        <v>799</v>
      </c>
      <c r="F98" s="11" t="n">
        <v>249</v>
      </c>
      <c r="G98" s="12" t="n">
        <v>0.69</v>
      </c>
      <c r="H98" s="13" t="n">
        <v>3.8</v>
      </c>
      <c r="I98" s="11" t="n">
        <v>1079</v>
      </c>
      <c r="J98" s="11" t="n">
        <f aca="false">E98-F98</f>
        <v>550</v>
      </c>
      <c r="K98" s="10" t="str">
        <f aca="false">IF(G98&lt;0.2,"0-19%",IF(G98&lt;0.4,"20-39%",IF(G98&lt;0.6,"40-59%",IF(G98&lt;0.8,"60-79%","80%+"))))</f>
        <v>60-79%</v>
      </c>
      <c r="L98" s="10" t="str">
        <f aca="false">IF(H98="","No rating",IF(H98&lt;3.5,"Below 3.5",IF(H98&lt;4,"3.5-3.9",IF(H98&lt;4.5,"4.0-4.4","4.5+"))))</f>
        <v>3.5-3.9</v>
      </c>
    </row>
    <row r="99" customFormat="false" ht="15" hidden="false" customHeight="false" outlineLevel="0" collapsed="false">
      <c r="A99" s="10" t="s">
        <v>218</v>
      </c>
      <c r="B99" s="10" t="s">
        <v>219</v>
      </c>
      <c r="C99" s="10" t="s">
        <v>21</v>
      </c>
      <c r="D99" s="10" t="s">
        <v>22</v>
      </c>
      <c r="E99" s="11" t="n">
        <v>999</v>
      </c>
      <c r="F99" s="11" t="n">
        <v>345</v>
      </c>
      <c r="G99" s="12" t="n">
        <v>0.65</v>
      </c>
      <c r="H99" s="13" t="n">
        <v>3.7</v>
      </c>
      <c r="I99" s="11" t="n">
        <v>1097</v>
      </c>
      <c r="J99" s="11" t="n">
        <f aca="false">E99-F99</f>
        <v>654</v>
      </c>
      <c r="K99" s="10" t="str">
        <f aca="false">IF(G99&lt;0.2,"0-19%",IF(G99&lt;0.4,"20-39%",IF(G99&lt;0.6,"40-59%",IF(G99&lt;0.8,"60-79%","80%+"))))</f>
        <v>60-79%</v>
      </c>
      <c r="L99" s="10" t="str">
        <f aca="false">IF(H99="","No rating",IF(H99&lt;3.5,"Below 3.5",IF(H99&lt;4,"3.5-3.9",IF(H99&lt;4.5,"4.0-4.4","4.5+"))))</f>
        <v>3.5-3.9</v>
      </c>
    </row>
    <row r="100" customFormat="false" ht="15" hidden="false" customHeight="false" outlineLevel="0" collapsed="false">
      <c r="A100" s="10" t="s">
        <v>220</v>
      </c>
      <c r="B100" s="10" t="s">
        <v>221</v>
      </c>
      <c r="C100" s="10" t="s">
        <v>21</v>
      </c>
      <c r="D100" s="10" t="s">
        <v>39</v>
      </c>
      <c r="E100" s="11" t="n">
        <v>1899</v>
      </c>
      <c r="F100" s="11" t="n">
        <v>1099</v>
      </c>
      <c r="G100" s="12" t="n">
        <v>0.42</v>
      </c>
      <c r="H100" s="13" t="n">
        <v>4.5</v>
      </c>
      <c r="I100" s="11" t="n">
        <v>22420</v>
      </c>
      <c r="J100" s="11" t="n">
        <f aca="false">E100-F100</f>
        <v>800</v>
      </c>
      <c r="K100" s="10" t="str">
        <f aca="false">IF(G100&lt;0.2,"0-19%",IF(G100&lt;0.4,"20-39%",IF(G100&lt;0.6,"40-59%",IF(G100&lt;0.8,"60-79%","80%+"))))</f>
        <v>40-59%</v>
      </c>
      <c r="L100" s="10" t="str">
        <f aca="false">IF(H100="","No rating",IF(H100&lt;3.5,"Below 3.5",IF(H100&lt;4,"3.5-3.9",IF(H100&lt;4.5,"4.0-4.4","4.5+"))))</f>
        <v>4.5+</v>
      </c>
    </row>
    <row r="101" customFormat="false" ht="15" hidden="false" customHeight="false" outlineLevel="0" collapsed="false">
      <c r="A101" s="10" t="s">
        <v>222</v>
      </c>
      <c r="B101" s="10" t="s">
        <v>223</v>
      </c>
      <c r="C101" s="10" t="s">
        <v>21</v>
      </c>
      <c r="D101" s="10" t="s">
        <v>22</v>
      </c>
      <c r="E101" s="11" t="n">
        <v>1499</v>
      </c>
      <c r="F101" s="11" t="n">
        <v>719</v>
      </c>
      <c r="G101" s="12" t="n">
        <v>0.52</v>
      </c>
      <c r="H101" s="13" t="n">
        <v>4.1</v>
      </c>
      <c r="I101" s="11" t="n">
        <v>1045</v>
      </c>
      <c r="J101" s="11" t="n">
        <f aca="false">E101-F101</f>
        <v>780</v>
      </c>
      <c r="K101" s="10" t="str">
        <f aca="false">IF(G101&lt;0.2,"0-19%",IF(G101&lt;0.4,"20-39%",IF(G101&lt;0.6,"40-59%",IF(G101&lt;0.8,"60-79%","80%+"))))</f>
        <v>40-59%</v>
      </c>
      <c r="L101" s="10" t="str">
        <f aca="false">IF(H101="","No rating",IF(H101&lt;3.5,"Below 3.5",IF(H101&lt;4,"3.5-3.9",IF(H101&lt;4.5,"4.0-4.4","4.5+"))))</f>
        <v>4.0-4.4</v>
      </c>
    </row>
    <row r="102" customFormat="false" ht="15" hidden="false" customHeight="false" outlineLevel="0" collapsed="false">
      <c r="A102" s="10" t="s">
        <v>224</v>
      </c>
      <c r="B102" s="10" t="s">
        <v>225</v>
      </c>
      <c r="C102" s="10" t="s">
        <v>48</v>
      </c>
      <c r="D102" s="10" t="s">
        <v>49</v>
      </c>
      <c r="E102" s="11" t="n">
        <v>1499</v>
      </c>
      <c r="F102" s="11" t="n">
        <v>349</v>
      </c>
      <c r="G102" s="12" t="n">
        <v>0.77</v>
      </c>
      <c r="H102" s="13" t="n">
        <v>4.3</v>
      </c>
      <c r="I102" s="11" t="n">
        <v>4145</v>
      </c>
      <c r="J102" s="11" t="n">
        <f aca="false">E102-F102</f>
        <v>1150</v>
      </c>
      <c r="K102" s="10" t="str">
        <f aca="false">IF(G102&lt;0.2,"0-19%",IF(G102&lt;0.4,"20-39%",IF(G102&lt;0.6,"40-59%",IF(G102&lt;0.8,"60-79%","80%+"))))</f>
        <v>60-79%</v>
      </c>
      <c r="L102" s="10" t="str">
        <f aca="false">IF(H102="","No rating",IF(H102&lt;3.5,"Below 3.5",IF(H102&lt;4,"3.5-3.9",IF(H102&lt;4.5,"4.0-4.4","4.5+"))))</f>
        <v>4.0-4.4</v>
      </c>
    </row>
    <row r="103" customFormat="false" ht="15" hidden="false" customHeight="false" outlineLevel="0" collapsed="false">
      <c r="A103" s="10" t="s">
        <v>226</v>
      </c>
      <c r="B103" s="10" t="s">
        <v>227</v>
      </c>
      <c r="C103" s="10" t="s">
        <v>21</v>
      </c>
      <c r="D103" s="10" t="s">
        <v>22</v>
      </c>
      <c r="E103" s="11" t="n">
        <v>1809</v>
      </c>
      <c r="F103" s="11" t="n">
        <v>849</v>
      </c>
      <c r="G103" s="12" t="n">
        <v>0.53</v>
      </c>
      <c r="H103" s="13" t="n">
        <v>4.3</v>
      </c>
      <c r="I103" s="11" t="n">
        <v>6547</v>
      </c>
      <c r="J103" s="11" t="n">
        <f aca="false">E103-F103</f>
        <v>960</v>
      </c>
      <c r="K103" s="10" t="str">
        <f aca="false">IF(G103&lt;0.2,"0-19%",IF(G103&lt;0.4,"20-39%",IF(G103&lt;0.6,"40-59%",IF(G103&lt;0.8,"60-79%","80%+"))))</f>
        <v>40-59%</v>
      </c>
      <c r="L103" s="10" t="str">
        <f aca="false">IF(H103="","No rating",IF(H103&lt;3.5,"Below 3.5",IF(H103&lt;4,"3.5-3.9",IF(H103&lt;4.5,"4.0-4.4","4.5+"))))</f>
        <v>4.0-4.4</v>
      </c>
    </row>
    <row r="104" customFormat="false" ht="15" hidden="false" customHeight="false" outlineLevel="0" collapsed="false">
      <c r="A104" s="10" t="s">
        <v>228</v>
      </c>
      <c r="B104" s="10" t="s">
        <v>229</v>
      </c>
      <c r="C104" s="10" t="s">
        <v>48</v>
      </c>
      <c r="D104" s="10" t="s">
        <v>49</v>
      </c>
      <c r="E104" s="11" t="n">
        <v>899</v>
      </c>
      <c r="F104" s="11" t="n">
        <v>299</v>
      </c>
      <c r="G104" s="12" t="n">
        <v>0.67</v>
      </c>
      <c r="H104" s="13" t="n">
        <v>4</v>
      </c>
      <c r="I104" s="11" t="n">
        <v>1588</v>
      </c>
      <c r="J104" s="11" t="n">
        <f aca="false">E104-F104</f>
        <v>600</v>
      </c>
      <c r="K104" s="10" t="str">
        <f aca="false">IF(G104&lt;0.2,"0-19%",IF(G104&lt;0.4,"20-39%",IF(G104&lt;0.6,"40-59%",IF(G104&lt;0.8,"60-79%","80%+"))))</f>
        <v>60-79%</v>
      </c>
      <c r="L104" s="10" t="str">
        <f aca="false">IF(H104="","No rating",IF(H104&lt;3.5,"Below 3.5",IF(H104&lt;4,"3.5-3.9",IF(H104&lt;4.5,"4.0-4.4","4.5+"))))</f>
        <v>4.0-4.4</v>
      </c>
    </row>
    <row r="105" customFormat="false" ht="15" hidden="false" customHeight="false" outlineLevel="0" collapsed="false">
      <c r="A105" s="10" t="s">
        <v>230</v>
      </c>
      <c r="B105" s="10" t="s">
        <v>231</v>
      </c>
      <c r="C105" s="10" t="s">
        <v>48</v>
      </c>
      <c r="D105" s="10" t="s">
        <v>49</v>
      </c>
      <c r="E105" s="11" t="n">
        <v>29999</v>
      </c>
      <c r="F105" s="11" t="n">
        <v>21999</v>
      </c>
      <c r="G105" s="12" t="n">
        <v>0.27</v>
      </c>
      <c r="H105" s="13" t="n">
        <v>4.2</v>
      </c>
      <c r="I105" s="11" t="n">
        <v>32840</v>
      </c>
      <c r="J105" s="11" t="n">
        <f aca="false">E105-F105</f>
        <v>8000</v>
      </c>
      <c r="K105" s="10" t="str">
        <f aca="false">IF(G105&lt;0.2,"0-19%",IF(G105&lt;0.4,"20-39%",IF(G105&lt;0.6,"40-59%",IF(G105&lt;0.8,"60-79%","80%+"))))</f>
        <v>20-39%</v>
      </c>
      <c r="L105" s="10" t="str">
        <f aca="false">IF(H105="","No rating",IF(H105&lt;3.5,"Below 3.5",IF(H105&lt;4,"3.5-3.9",IF(H105&lt;4.5,"4.0-4.4","4.5+"))))</f>
        <v>4.0-4.4</v>
      </c>
    </row>
    <row r="106" customFormat="false" ht="15" hidden="false" customHeight="false" outlineLevel="0" collapsed="false">
      <c r="A106" s="10" t="s">
        <v>232</v>
      </c>
      <c r="B106" s="10" t="s">
        <v>233</v>
      </c>
      <c r="C106" s="10" t="s">
        <v>21</v>
      </c>
      <c r="D106" s="10" t="s">
        <v>22</v>
      </c>
      <c r="E106" s="11" t="n">
        <v>999</v>
      </c>
      <c r="F106" s="11" t="n">
        <v>349</v>
      </c>
      <c r="G106" s="12" t="n">
        <v>0.65</v>
      </c>
      <c r="H106" s="13" t="n">
        <v>4.2</v>
      </c>
      <c r="I106" s="11" t="n">
        <v>13120</v>
      </c>
      <c r="J106" s="11" t="n">
        <f aca="false">E106-F106</f>
        <v>650</v>
      </c>
      <c r="K106" s="10" t="str">
        <f aca="false">IF(G106&lt;0.2,"0-19%",IF(G106&lt;0.4,"20-39%",IF(G106&lt;0.6,"40-59%",IF(G106&lt;0.8,"60-79%","80%+"))))</f>
        <v>60-79%</v>
      </c>
      <c r="L106" s="10" t="str">
        <f aca="false">IF(H106="","No rating",IF(H106&lt;3.5,"Below 3.5",IF(H106&lt;4,"3.5-3.9",IF(H106&lt;4.5,"4.0-4.4","4.5+"))))</f>
        <v>4.0-4.4</v>
      </c>
    </row>
    <row r="107" customFormat="false" ht="15" hidden="false" customHeight="false" outlineLevel="0" collapsed="false">
      <c r="A107" s="10" t="s">
        <v>234</v>
      </c>
      <c r="B107" s="10" t="s">
        <v>235</v>
      </c>
      <c r="C107" s="10" t="s">
        <v>21</v>
      </c>
      <c r="D107" s="10" t="s">
        <v>22</v>
      </c>
      <c r="E107" s="11" t="n">
        <v>999</v>
      </c>
      <c r="F107" s="11" t="n">
        <v>399</v>
      </c>
      <c r="G107" s="12" t="n">
        <v>0.6</v>
      </c>
      <c r="H107" s="13" t="n">
        <v>4.3</v>
      </c>
      <c r="I107" s="11" t="n">
        <v>2806</v>
      </c>
      <c r="J107" s="11" t="n">
        <f aca="false">E107-F107</f>
        <v>600</v>
      </c>
      <c r="K107" s="10" t="str">
        <f aca="false">IF(G107&lt;0.2,"0-19%",IF(G107&lt;0.4,"20-39%",IF(G107&lt;0.6,"40-59%",IF(G107&lt;0.8,"60-79%","80%+"))))</f>
        <v>60-79%</v>
      </c>
      <c r="L107" s="10" t="str">
        <f aca="false">IF(H107="","No rating",IF(H107&lt;3.5,"Below 3.5",IF(H107&lt;4,"3.5-3.9",IF(H107&lt;4.5,"4.0-4.4","4.5+"))))</f>
        <v>4.0-4.4</v>
      </c>
    </row>
    <row r="108" customFormat="false" ht="15" hidden="false" customHeight="false" outlineLevel="0" collapsed="false">
      <c r="A108" s="10" t="s">
        <v>236</v>
      </c>
      <c r="B108" s="10" t="s">
        <v>237</v>
      </c>
      <c r="C108" s="10" t="s">
        <v>21</v>
      </c>
      <c r="D108" s="10" t="s">
        <v>22</v>
      </c>
      <c r="E108" s="11" t="n">
        <v>1299</v>
      </c>
      <c r="F108" s="11" t="n">
        <v>449</v>
      </c>
      <c r="G108" s="12" t="n">
        <v>0.65</v>
      </c>
      <c r="H108" s="13" t="n">
        <v>4.2</v>
      </c>
      <c r="I108" s="11" t="n">
        <v>24269</v>
      </c>
      <c r="J108" s="11" t="n">
        <f aca="false">E108-F108</f>
        <v>850</v>
      </c>
      <c r="K108" s="10" t="str">
        <f aca="false">IF(G108&lt;0.2,"0-19%",IF(G108&lt;0.4,"20-39%",IF(G108&lt;0.6,"40-59%",IF(G108&lt;0.8,"60-79%","80%+"))))</f>
        <v>60-79%</v>
      </c>
      <c r="L108" s="10" t="str">
        <f aca="false">IF(H108="","No rating",IF(H108&lt;3.5,"Below 3.5",IF(H108&lt;4,"3.5-3.9",IF(H108&lt;4.5,"4.0-4.4","4.5+"))))</f>
        <v>4.0-4.4</v>
      </c>
    </row>
    <row r="109" customFormat="false" ht="15" hidden="false" customHeight="false" outlineLevel="0" collapsed="false">
      <c r="A109" s="10" t="s">
        <v>238</v>
      </c>
      <c r="B109" s="10" t="s">
        <v>239</v>
      </c>
      <c r="C109" s="10" t="s">
        <v>21</v>
      </c>
      <c r="D109" s="10" t="s">
        <v>22</v>
      </c>
      <c r="E109" s="11" t="n">
        <v>999</v>
      </c>
      <c r="F109" s="11" t="n">
        <v>299</v>
      </c>
      <c r="G109" s="12" t="n">
        <v>0.7</v>
      </c>
      <c r="H109" s="13" t="n">
        <v>4.3</v>
      </c>
      <c r="I109" s="11" t="n">
        <v>766</v>
      </c>
      <c r="J109" s="11" t="n">
        <f aca="false">E109-F109</f>
        <v>700</v>
      </c>
      <c r="K109" s="10" t="str">
        <f aca="false">IF(G109&lt;0.2,"0-19%",IF(G109&lt;0.4,"20-39%",IF(G109&lt;0.6,"40-59%",IF(G109&lt;0.8,"60-79%","80%+"))))</f>
        <v>60-79%</v>
      </c>
      <c r="L109" s="10" t="str">
        <f aca="false">IF(H109="","No rating",IF(H109&lt;3.5,"Below 3.5",IF(H109&lt;4,"3.5-3.9",IF(H109&lt;4.5,"4.0-4.4","4.5+"))))</f>
        <v>4.0-4.4</v>
      </c>
    </row>
    <row r="110" customFormat="false" ht="15" hidden="false" customHeight="false" outlineLevel="0" collapsed="false">
      <c r="A110" s="10" t="s">
        <v>240</v>
      </c>
      <c r="B110" s="10" t="s">
        <v>241</v>
      </c>
      <c r="C110" s="10" t="s">
        <v>48</v>
      </c>
      <c r="D110" s="10" t="s">
        <v>49</v>
      </c>
      <c r="E110" s="11" t="n">
        <v>65000</v>
      </c>
      <c r="F110" s="11" t="n">
        <v>37999</v>
      </c>
      <c r="G110" s="12" t="n">
        <v>0.42</v>
      </c>
      <c r="H110" s="13" t="n">
        <v>4.3</v>
      </c>
      <c r="I110" s="11" t="n">
        <v>3587</v>
      </c>
      <c r="J110" s="11" t="n">
        <f aca="false">E110-F110</f>
        <v>27001</v>
      </c>
      <c r="K110" s="10" t="str">
        <f aca="false">IF(G110&lt;0.2,"0-19%",IF(G110&lt;0.4,"20-39%",IF(G110&lt;0.6,"40-59%",IF(G110&lt;0.8,"60-79%","80%+"))))</f>
        <v>40-59%</v>
      </c>
      <c r="L110" s="10" t="str">
        <f aca="false">IF(H110="","No rating",IF(H110&lt;3.5,"Below 3.5",IF(H110&lt;4,"3.5-3.9",IF(H110&lt;4.5,"4.0-4.4","4.5+"))))</f>
        <v>4.0-4.4</v>
      </c>
    </row>
    <row r="111" customFormat="false" ht="15" hidden="false" customHeight="false" outlineLevel="0" collapsed="false">
      <c r="A111" s="10" t="s">
        <v>242</v>
      </c>
      <c r="B111" s="10" t="s">
        <v>243</v>
      </c>
      <c r="C111" s="10" t="s">
        <v>21</v>
      </c>
      <c r="D111" s="10" t="s">
        <v>22</v>
      </c>
      <c r="E111" s="11" t="n">
        <v>800</v>
      </c>
      <c r="F111" s="11" t="n">
        <v>99</v>
      </c>
      <c r="G111" s="12" t="n">
        <v>0.88</v>
      </c>
      <c r="H111" s="13" t="n">
        <v>3.9</v>
      </c>
      <c r="I111" s="11" t="n">
        <v>24871</v>
      </c>
      <c r="J111" s="11" t="n">
        <f aca="false">E111-F111</f>
        <v>701</v>
      </c>
      <c r="K111" s="10" t="str">
        <f aca="false">IF(G111&lt;0.2,"0-19%",IF(G111&lt;0.4,"20-39%",IF(G111&lt;0.6,"40-59%",IF(G111&lt;0.8,"60-79%","80%+"))))</f>
        <v>80%+</v>
      </c>
      <c r="L111" s="10" t="str">
        <f aca="false">IF(H111="","No rating",IF(H111&lt;3.5,"Below 3.5",IF(H111&lt;4,"3.5-3.9",IF(H111&lt;4.5,"4.0-4.4","4.5+"))))</f>
        <v>3.5-3.9</v>
      </c>
    </row>
    <row r="112" customFormat="false" ht="15" hidden="false" customHeight="false" outlineLevel="0" collapsed="false">
      <c r="A112" s="10" t="s">
        <v>244</v>
      </c>
      <c r="B112" s="10" t="s">
        <v>245</v>
      </c>
      <c r="C112" s="10" t="s">
        <v>48</v>
      </c>
      <c r="D112" s="10" t="s">
        <v>49</v>
      </c>
      <c r="E112" s="11" t="n">
        <v>20000</v>
      </c>
      <c r="F112" s="11" t="n">
        <v>7390</v>
      </c>
      <c r="G112" s="12" t="n">
        <v>0.63</v>
      </c>
      <c r="H112" s="13" t="n">
        <v>4.1</v>
      </c>
      <c r="I112" s="11" t="n">
        <v>2581</v>
      </c>
      <c r="J112" s="11" t="n">
        <f aca="false">E112-F112</f>
        <v>12610</v>
      </c>
      <c r="K112" s="10" t="str">
        <f aca="false">IF(G112&lt;0.2,"0-19%",IF(G112&lt;0.4,"20-39%",IF(G112&lt;0.6,"40-59%",IF(G112&lt;0.8,"60-79%","80%+"))))</f>
        <v>60-79%</v>
      </c>
      <c r="L112" s="10" t="str">
        <f aca="false">IF(H112="","No rating",IF(H112&lt;3.5,"Below 3.5",IF(H112&lt;4,"3.5-3.9",IF(H112&lt;4.5,"4.0-4.4","4.5+"))))</f>
        <v>4.0-4.4</v>
      </c>
    </row>
    <row r="113" customFormat="false" ht="15" hidden="false" customHeight="false" outlineLevel="0" collapsed="false">
      <c r="A113" s="10" t="s">
        <v>246</v>
      </c>
      <c r="B113" s="10" t="s">
        <v>247</v>
      </c>
      <c r="C113" s="10" t="s">
        <v>21</v>
      </c>
      <c r="D113" s="10" t="s">
        <v>22</v>
      </c>
      <c r="E113" s="11" t="n">
        <v>999</v>
      </c>
      <c r="F113" s="11" t="n">
        <v>273.1</v>
      </c>
      <c r="G113" s="12" t="n">
        <v>0.73</v>
      </c>
      <c r="H113" s="13" t="n">
        <v>4.3</v>
      </c>
      <c r="I113" s="11" t="n">
        <v>20850</v>
      </c>
      <c r="J113" s="11" t="n">
        <f aca="false">E113-F113</f>
        <v>725.9</v>
      </c>
      <c r="K113" s="10" t="str">
        <f aca="false">IF(G113&lt;0.2,"0-19%",IF(G113&lt;0.4,"20-39%",IF(G113&lt;0.6,"40-59%",IF(G113&lt;0.8,"60-79%","80%+"))))</f>
        <v>60-79%</v>
      </c>
      <c r="L113" s="10" t="str">
        <f aca="false">IF(H113="","No rating",IF(H113&lt;3.5,"Below 3.5",IF(H113&lt;4,"3.5-3.9",IF(H113&lt;4.5,"4.0-4.4","4.5+"))))</f>
        <v>4.0-4.4</v>
      </c>
    </row>
    <row r="114" customFormat="false" ht="15" hidden="false" customHeight="false" outlineLevel="0" collapsed="false">
      <c r="A114" s="10" t="s">
        <v>248</v>
      </c>
      <c r="B114" s="10" t="s">
        <v>249</v>
      </c>
      <c r="C114" s="10" t="s">
        <v>48</v>
      </c>
      <c r="D114" s="10" t="s">
        <v>49</v>
      </c>
      <c r="E114" s="11" t="n">
        <v>23990</v>
      </c>
      <c r="F114" s="11" t="n">
        <v>15990</v>
      </c>
      <c r="G114" s="12" t="n">
        <v>0.33</v>
      </c>
      <c r="H114" s="13" t="n">
        <v>4.3</v>
      </c>
      <c r="I114" s="11" t="n">
        <v>1035</v>
      </c>
      <c r="J114" s="11" t="n">
        <f aca="false">E114-F114</f>
        <v>8000</v>
      </c>
      <c r="K114" s="10" t="str">
        <f aca="false">IF(G114&lt;0.2,"0-19%",IF(G114&lt;0.4,"20-39%",IF(G114&lt;0.6,"40-59%",IF(G114&lt;0.8,"60-79%","80%+"))))</f>
        <v>20-39%</v>
      </c>
      <c r="L114" s="10" t="str">
        <f aca="false">IF(H114="","No rating",IF(H114&lt;3.5,"Below 3.5",IF(H114&lt;4,"3.5-3.9",IF(H114&lt;4.5,"4.0-4.4","4.5+"))))</f>
        <v>4.0-4.4</v>
      </c>
    </row>
    <row r="115" customFormat="false" ht="15" hidden="false" customHeight="false" outlineLevel="0" collapsed="false">
      <c r="A115" s="10" t="s">
        <v>250</v>
      </c>
      <c r="B115" s="10" t="s">
        <v>251</v>
      </c>
      <c r="C115" s="10" t="s">
        <v>21</v>
      </c>
      <c r="D115" s="10" t="s">
        <v>22</v>
      </c>
      <c r="E115" s="11" t="n">
        <v>999</v>
      </c>
      <c r="F115" s="11" t="n">
        <v>399</v>
      </c>
      <c r="G115" s="12" t="n">
        <v>0.6</v>
      </c>
      <c r="H115" s="13" t="n">
        <v>4.1</v>
      </c>
      <c r="I115" s="11" t="n">
        <v>1780</v>
      </c>
      <c r="J115" s="11" t="n">
        <f aca="false">E115-F115</f>
        <v>600</v>
      </c>
      <c r="K115" s="10" t="str">
        <f aca="false">IF(G115&lt;0.2,"0-19%",IF(G115&lt;0.4,"20-39%",IF(G115&lt;0.6,"40-59%",IF(G115&lt;0.8,"60-79%","80%+"))))</f>
        <v>60-79%</v>
      </c>
      <c r="L115" s="10" t="str">
        <f aca="false">IF(H115="","No rating",IF(H115&lt;3.5,"Below 3.5",IF(H115&lt;4,"3.5-3.9",IF(H115&lt;4.5,"4.0-4.4","4.5+"))))</f>
        <v>4.0-4.4</v>
      </c>
    </row>
    <row r="116" customFormat="false" ht="15" hidden="false" customHeight="false" outlineLevel="0" collapsed="false">
      <c r="A116" s="10" t="s">
        <v>252</v>
      </c>
      <c r="B116" s="10" t="s">
        <v>253</v>
      </c>
      <c r="C116" s="10" t="s">
        <v>48</v>
      </c>
      <c r="D116" s="10" t="s">
        <v>49</v>
      </c>
      <c r="E116" s="11" t="n">
        <v>1999</v>
      </c>
      <c r="F116" s="11" t="n">
        <v>399</v>
      </c>
      <c r="G116" s="12" t="n">
        <v>0.8</v>
      </c>
      <c r="H116" s="13" t="n">
        <v>4.5</v>
      </c>
      <c r="I116" s="11" t="n">
        <v>505</v>
      </c>
      <c r="J116" s="11" t="n">
        <f aca="false">E116-F116</f>
        <v>1600</v>
      </c>
      <c r="K116" s="10" t="str">
        <f aca="false">IF(G116&lt;0.2,"0-19%",IF(G116&lt;0.4,"20-39%",IF(G116&lt;0.6,"40-59%",IF(G116&lt;0.8,"60-79%","80%+"))))</f>
        <v>80%+</v>
      </c>
      <c r="L116" s="10" t="str">
        <f aca="false">IF(H116="","No rating",IF(H116&lt;3.5,"Below 3.5",IF(H116&lt;4,"3.5-3.9",IF(H116&lt;4.5,"4.0-4.4","4.5+"))))</f>
        <v>4.5+</v>
      </c>
    </row>
    <row r="117" customFormat="false" ht="15" hidden="false" customHeight="false" outlineLevel="0" collapsed="false">
      <c r="A117" s="10" t="s">
        <v>254</v>
      </c>
      <c r="B117" s="10" t="s">
        <v>255</v>
      </c>
      <c r="C117" s="10" t="s">
        <v>21</v>
      </c>
      <c r="D117" s="10" t="s">
        <v>22</v>
      </c>
      <c r="E117" s="11" t="n">
        <v>399</v>
      </c>
      <c r="F117" s="11" t="n">
        <v>210</v>
      </c>
      <c r="G117" s="12" t="n">
        <v>0.47</v>
      </c>
      <c r="H117" s="13" t="n">
        <v>4.1</v>
      </c>
      <c r="I117" s="11" t="n">
        <v>1717</v>
      </c>
      <c r="J117" s="11" t="n">
        <f aca="false">E117-F117</f>
        <v>189</v>
      </c>
      <c r="K117" s="10" t="str">
        <f aca="false">IF(G117&lt;0.2,"0-19%",IF(G117&lt;0.4,"20-39%",IF(G117&lt;0.6,"40-59%",IF(G117&lt;0.8,"60-79%","80%+"))))</f>
        <v>40-59%</v>
      </c>
      <c r="L117" s="10" t="str">
        <f aca="false">IF(H117="","No rating",IF(H117&lt;3.5,"Below 3.5",IF(H117&lt;4,"3.5-3.9",IF(H117&lt;4.5,"4.0-4.4","4.5+"))))</f>
        <v>4.0-4.4</v>
      </c>
    </row>
    <row r="118" customFormat="false" ht="15" hidden="false" customHeight="false" outlineLevel="0" collapsed="false">
      <c r="A118" s="10" t="s">
        <v>256</v>
      </c>
      <c r="B118" s="10" t="s">
        <v>257</v>
      </c>
      <c r="C118" s="10" t="s">
        <v>48</v>
      </c>
      <c r="D118" s="10" t="s">
        <v>49</v>
      </c>
      <c r="E118" s="11" t="n">
        <v>1999</v>
      </c>
      <c r="F118" s="11" t="n">
        <v>1299</v>
      </c>
      <c r="G118" s="12" t="n">
        <v>0.35</v>
      </c>
      <c r="H118" s="13" t="n">
        <v>3.6</v>
      </c>
      <c r="I118" s="11" t="n">
        <v>590</v>
      </c>
      <c r="J118" s="11" t="n">
        <f aca="false">E118-F118</f>
        <v>700</v>
      </c>
      <c r="K118" s="10" t="str">
        <f aca="false">IF(G118&lt;0.2,"0-19%",IF(G118&lt;0.4,"20-39%",IF(G118&lt;0.6,"40-59%",IF(G118&lt;0.8,"60-79%","80%+"))))</f>
        <v>20-39%</v>
      </c>
      <c r="L118" s="10" t="str">
        <f aca="false">IF(H118="","No rating",IF(H118&lt;3.5,"Below 3.5",IF(H118&lt;4,"3.5-3.9",IF(H118&lt;4.5,"4.0-4.4","4.5+"))))</f>
        <v>3.5-3.9</v>
      </c>
    </row>
    <row r="119" customFormat="false" ht="15" hidden="false" customHeight="false" outlineLevel="0" collapsed="false">
      <c r="A119" s="10" t="s">
        <v>258</v>
      </c>
      <c r="B119" s="10" t="s">
        <v>259</v>
      </c>
      <c r="C119" s="10" t="s">
        <v>21</v>
      </c>
      <c r="D119" s="10" t="s">
        <v>22</v>
      </c>
      <c r="E119" s="11" t="n">
        <v>999</v>
      </c>
      <c r="F119" s="11" t="n">
        <v>347</v>
      </c>
      <c r="G119" s="12" t="n">
        <v>0.65</v>
      </c>
      <c r="H119" s="13" t="n">
        <v>3.5</v>
      </c>
      <c r="I119" s="11" t="n">
        <v>1121</v>
      </c>
      <c r="J119" s="11" t="n">
        <f aca="false">E119-F119</f>
        <v>652</v>
      </c>
      <c r="K119" s="10" t="str">
        <f aca="false">IF(G119&lt;0.2,"0-19%",IF(G119&lt;0.4,"20-39%",IF(G119&lt;0.6,"40-59%",IF(G119&lt;0.8,"60-79%","80%+"))))</f>
        <v>60-79%</v>
      </c>
      <c r="L119" s="10" t="str">
        <f aca="false">IF(H119="","No rating",IF(H119&lt;3.5,"Below 3.5",IF(H119&lt;4,"3.5-3.9",IF(H119&lt;4.5,"4.0-4.4","4.5+"))))</f>
        <v>3.5-3.9</v>
      </c>
    </row>
    <row r="120" customFormat="false" ht="15" hidden="false" customHeight="false" outlineLevel="0" collapsed="false">
      <c r="A120" s="10" t="s">
        <v>260</v>
      </c>
      <c r="B120" s="10" t="s">
        <v>261</v>
      </c>
      <c r="C120" s="10" t="s">
        <v>21</v>
      </c>
      <c r="D120" s="10" t="s">
        <v>22</v>
      </c>
      <c r="E120" s="11" t="n">
        <v>999</v>
      </c>
      <c r="F120" s="11" t="n">
        <v>149</v>
      </c>
      <c r="G120" s="12" t="n">
        <v>0.85</v>
      </c>
      <c r="H120" s="13" t="n">
        <v>4</v>
      </c>
      <c r="I120" s="11" t="n">
        <v>1313</v>
      </c>
      <c r="J120" s="11" t="n">
        <f aca="false">E120-F120</f>
        <v>850</v>
      </c>
      <c r="K120" s="10" t="str">
        <f aca="false">IF(G120&lt;0.2,"0-19%",IF(G120&lt;0.4,"20-39%",IF(G120&lt;0.6,"40-59%",IF(G120&lt;0.8,"60-79%","80%+"))))</f>
        <v>80%+</v>
      </c>
      <c r="L120" s="10" t="str">
        <f aca="false">IF(H120="","No rating",IF(H120&lt;3.5,"Below 3.5",IF(H120&lt;4,"3.5-3.9",IF(H120&lt;4.5,"4.0-4.4","4.5+"))))</f>
        <v>4.0-4.4</v>
      </c>
    </row>
    <row r="121" customFormat="false" ht="15" hidden="false" customHeight="false" outlineLevel="0" collapsed="false">
      <c r="A121" s="10" t="s">
        <v>262</v>
      </c>
      <c r="B121" s="10" t="s">
        <v>263</v>
      </c>
      <c r="C121" s="10" t="s">
        <v>21</v>
      </c>
      <c r="D121" s="10" t="s">
        <v>22</v>
      </c>
      <c r="E121" s="11" t="n">
        <v>899</v>
      </c>
      <c r="F121" s="11" t="n">
        <v>228</v>
      </c>
      <c r="G121" s="12" t="n">
        <v>0.75</v>
      </c>
      <c r="H121" s="13" t="n">
        <v>3.8</v>
      </c>
      <c r="I121" s="11" t="n">
        <v>132</v>
      </c>
      <c r="J121" s="11" t="n">
        <f aca="false">E121-F121</f>
        <v>671</v>
      </c>
      <c r="K121" s="10" t="str">
        <f aca="false">IF(G121&lt;0.2,"0-19%",IF(G121&lt;0.4,"20-39%",IF(G121&lt;0.6,"40-59%",IF(G121&lt;0.8,"60-79%","80%+"))))</f>
        <v>60-79%</v>
      </c>
      <c r="L121" s="10" t="str">
        <f aca="false">IF(H121="","No rating",IF(H121&lt;3.5,"Below 3.5",IF(H121&lt;4,"3.5-3.9",IF(H121&lt;4.5,"4.0-4.4","4.5+"))))</f>
        <v>3.5-3.9</v>
      </c>
    </row>
    <row r="122" customFormat="false" ht="15" hidden="false" customHeight="false" outlineLevel="0" collapsed="false">
      <c r="A122" s="10" t="s">
        <v>264</v>
      </c>
      <c r="B122" s="10" t="s">
        <v>265</v>
      </c>
      <c r="C122" s="10" t="s">
        <v>21</v>
      </c>
      <c r="D122" s="10" t="s">
        <v>22</v>
      </c>
      <c r="E122" s="11" t="n">
        <v>1999</v>
      </c>
      <c r="F122" s="11" t="n">
        <v>1599</v>
      </c>
      <c r="G122" s="12" t="n">
        <v>0.2</v>
      </c>
      <c r="H122" s="13" t="n">
        <v>4.4</v>
      </c>
      <c r="I122" s="11" t="n">
        <v>1951</v>
      </c>
      <c r="J122" s="11" t="n">
        <f aca="false">E122-F122</f>
        <v>400</v>
      </c>
      <c r="K122" s="10" t="str">
        <f aca="false">IF(G122&lt;0.2,"0-19%",IF(G122&lt;0.4,"20-39%",IF(G122&lt;0.6,"40-59%",IF(G122&lt;0.8,"60-79%","80%+"))))</f>
        <v>20-39%</v>
      </c>
      <c r="L122" s="10" t="str">
        <f aca="false">IF(H122="","No rating",IF(H122&lt;3.5,"Below 3.5",IF(H122&lt;4,"3.5-3.9",IF(H122&lt;4.5,"4.0-4.4","4.5+"))))</f>
        <v>4.0-4.4</v>
      </c>
    </row>
    <row r="123" customFormat="false" ht="15" hidden="false" customHeight="false" outlineLevel="0" collapsed="false">
      <c r="A123" s="10" t="s">
        <v>266</v>
      </c>
      <c r="B123" s="10" t="s">
        <v>267</v>
      </c>
      <c r="C123" s="10" t="s">
        <v>48</v>
      </c>
      <c r="D123" s="10" t="s">
        <v>49</v>
      </c>
      <c r="E123" s="11" t="n">
        <v>3999</v>
      </c>
      <c r="F123" s="11" t="n">
        <v>1499</v>
      </c>
      <c r="G123" s="12" t="n">
        <v>0.63</v>
      </c>
      <c r="H123" s="13" t="n">
        <v>3.7</v>
      </c>
      <c r="I123" s="11" t="n">
        <v>37</v>
      </c>
      <c r="J123" s="11" t="n">
        <f aca="false">E123-F123</f>
        <v>2500</v>
      </c>
      <c r="K123" s="10" t="str">
        <f aca="false">IF(G123&lt;0.2,"0-19%",IF(G123&lt;0.4,"20-39%",IF(G123&lt;0.6,"40-59%",IF(G123&lt;0.8,"60-79%","80%+"))))</f>
        <v>60-79%</v>
      </c>
      <c r="L123" s="10" t="str">
        <f aca="false">IF(H123="","No rating",IF(H123&lt;3.5,"Below 3.5",IF(H123&lt;4,"3.5-3.9",IF(H123&lt;4.5,"4.0-4.4","4.5+"))))</f>
        <v>3.5-3.9</v>
      </c>
    </row>
    <row r="124" customFormat="false" ht="15" hidden="false" customHeight="false" outlineLevel="0" collapsed="false">
      <c r="A124" s="10" t="s">
        <v>268</v>
      </c>
      <c r="B124" s="10" t="s">
        <v>269</v>
      </c>
      <c r="C124" s="10" t="s">
        <v>48</v>
      </c>
      <c r="D124" s="10" t="s">
        <v>49</v>
      </c>
      <c r="E124" s="11" t="n">
        <v>15999</v>
      </c>
      <c r="F124" s="11" t="n">
        <v>8499</v>
      </c>
      <c r="G124" s="12" t="n">
        <v>0.47</v>
      </c>
      <c r="H124" s="13" t="n">
        <v>4.3</v>
      </c>
      <c r="I124" s="11" t="n">
        <v>592</v>
      </c>
      <c r="J124" s="11" t="n">
        <f aca="false">E124-F124</f>
        <v>7500</v>
      </c>
      <c r="K124" s="10" t="str">
        <f aca="false">IF(G124&lt;0.2,"0-19%",IF(G124&lt;0.4,"20-39%",IF(G124&lt;0.6,"40-59%",IF(G124&lt;0.8,"60-79%","80%+"))))</f>
        <v>40-59%</v>
      </c>
      <c r="L124" s="10" t="str">
        <f aca="false">IF(H124="","No rating",IF(H124&lt;3.5,"Below 3.5",IF(H124&lt;4,"3.5-3.9",IF(H124&lt;4.5,"4.0-4.4","4.5+"))))</f>
        <v>4.0-4.4</v>
      </c>
    </row>
    <row r="125" customFormat="false" ht="15" hidden="false" customHeight="false" outlineLevel="0" collapsed="false">
      <c r="A125" s="10" t="s">
        <v>270</v>
      </c>
      <c r="B125" s="10" t="s">
        <v>271</v>
      </c>
      <c r="C125" s="10" t="s">
        <v>48</v>
      </c>
      <c r="D125" s="10" t="s">
        <v>49</v>
      </c>
      <c r="E125" s="11" t="n">
        <v>44990</v>
      </c>
      <c r="F125" s="11" t="n">
        <v>20990</v>
      </c>
      <c r="G125" s="12" t="n">
        <v>0.53</v>
      </c>
      <c r="H125" s="13" t="n">
        <v>4.1</v>
      </c>
      <c r="I125" s="11" t="n">
        <v>1259</v>
      </c>
      <c r="J125" s="11" t="n">
        <f aca="false">E125-F125</f>
        <v>24000</v>
      </c>
      <c r="K125" s="10" t="str">
        <f aca="false">IF(G125&lt;0.2,"0-19%",IF(G125&lt;0.4,"20-39%",IF(G125&lt;0.6,"40-59%",IF(G125&lt;0.8,"60-79%","80%+"))))</f>
        <v>40-59%</v>
      </c>
      <c r="L125" s="10" t="str">
        <f aca="false">IF(H125="","No rating",IF(H125&lt;3.5,"Below 3.5",IF(H125&lt;4,"3.5-3.9",IF(H125&lt;4.5,"4.0-4.4","4.5+"))))</f>
        <v>4.0-4.4</v>
      </c>
    </row>
    <row r="126" customFormat="false" ht="15" hidden="false" customHeight="false" outlineLevel="0" collapsed="false">
      <c r="A126" s="10" t="s">
        <v>272</v>
      </c>
      <c r="B126" s="10" t="s">
        <v>273</v>
      </c>
      <c r="C126" s="10" t="s">
        <v>48</v>
      </c>
      <c r="D126" s="10" t="s">
        <v>49</v>
      </c>
      <c r="E126" s="11" t="n">
        <v>44999</v>
      </c>
      <c r="F126" s="11" t="n">
        <v>32999</v>
      </c>
      <c r="G126" s="12" t="n">
        <v>0.27</v>
      </c>
      <c r="H126" s="13" t="n">
        <v>4.2</v>
      </c>
      <c r="I126" s="11" t="n">
        <v>45238</v>
      </c>
      <c r="J126" s="11" t="n">
        <f aca="false">E126-F126</f>
        <v>12000</v>
      </c>
      <c r="K126" s="10" t="str">
        <f aca="false">IF(G126&lt;0.2,"0-19%",IF(G126&lt;0.4,"20-39%",IF(G126&lt;0.6,"40-59%",IF(G126&lt;0.8,"60-79%","80%+"))))</f>
        <v>20-39%</v>
      </c>
      <c r="L126" s="10" t="str">
        <f aca="false">IF(H126="","No rating",IF(H126&lt;3.5,"Below 3.5",IF(H126&lt;4,"3.5-3.9",IF(H126&lt;4.5,"4.0-4.4","4.5+"))))</f>
        <v>4.0-4.4</v>
      </c>
    </row>
    <row r="127" customFormat="false" ht="15" hidden="false" customHeight="false" outlineLevel="0" collapsed="false">
      <c r="A127" s="10" t="s">
        <v>274</v>
      </c>
      <c r="B127" s="10" t="s">
        <v>275</v>
      </c>
      <c r="C127" s="10" t="s">
        <v>48</v>
      </c>
      <c r="D127" s="10" t="s">
        <v>49</v>
      </c>
      <c r="E127" s="11" t="n">
        <v>1700</v>
      </c>
      <c r="F127" s="11" t="n">
        <v>799</v>
      </c>
      <c r="G127" s="12" t="n">
        <v>0.53</v>
      </c>
      <c r="H127" s="13" t="n">
        <v>4.1</v>
      </c>
      <c r="I127" s="11" t="n">
        <v>28638</v>
      </c>
      <c r="J127" s="11" t="n">
        <f aca="false">E127-F127</f>
        <v>901</v>
      </c>
      <c r="K127" s="10" t="str">
        <f aca="false">IF(G127&lt;0.2,"0-19%",IF(G127&lt;0.4,"20-39%",IF(G127&lt;0.6,"40-59%",IF(G127&lt;0.8,"60-79%","80%+"))))</f>
        <v>40-59%</v>
      </c>
      <c r="L127" s="10" t="str">
        <f aca="false">IF(H127="","No rating",IF(H127&lt;3.5,"Below 3.5",IF(H127&lt;4,"3.5-3.9",IF(H127&lt;4.5,"4.0-4.4","4.5+"))))</f>
        <v>4.0-4.4</v>
      </c>
    </row>
    <row r="128" customFormat="false" ht="15" hidden="false" customHeight="false" outlineLevel="0" collapsed="false">
      <c r="A128" s="10" t="s">
        <v>276</v>
      </c>
      <c r="B128" s="10" t="s">
        <v>277</v>
      </c>
      <c r="C128" s="10" t="s">
        <v>48</v>
      </c>
      <c r="D128" s="10" t="s">
        <v>49</v>
      </c>
      <c r="E128" s="11" t="n">
        <v>595</v>
      </c>
      <c r="F128" s="11" t="n">
        <v>229</v>
      </c>
      <c r="G128" s="12" t="n">
        <v>0.62</v>
      </c>
      <c r="H128" s="13" t="n">
        <v>4.3</v>
      </c>
      <c r="I128" s="11" t="n">
        <v>12835</v>
      </c>
      <c r="J128" s="11" t="n">
        <f aca="false">E128-F128</f>
        <v>366</v>
      </c>
      <c r="K128" s="10" t="str">
        <f aca="false">IF(G128&lt;0.2,"0-19%",IF(G128&lt;0.4,"20-39%",IF(G128&lt;0.6,"40-59%",IF(G128&lt;0.8,"60-79%","80%+"))))</f>
        <v>60-79%</v>
      </c>
      <c r="L128" s="10" t="str">
        <f aca="false">IF(H128="","No rating",IF(H128&lt;3.5,"Below 3.5",IF(H128&lt;4,"3.5-3.9",IF(H128&lt;4.5,"4.0-4.4","4.5+"))))</f>
        <v>4.0-4.4</v>
      </c>
    </row>
    <row r="129" customFormat="false" ht="15" hidden="false" customHeight="false" outlineLevel="0" collapsed="false">
      <c r="A129" s="10" t="s">
        <v>278</v>
      </c>
      <c r="B129" s="10" t="s">
        <v>279</v>
      </c>
      <c r="C129" s="10" t="s">
        <v>48</v>
      </c>
      <c r="D129" s="10" t="s">
        <v>49</v>
      </c>
      <c r="E129" s="11" t="n">
        <v>27990</v>
      </c>
      <c r="F129" s="11" t="n">
        <v>9999</v>
      </c>
      <c r="G129" s="12" t="n">
        <v>0.64</v>
      </c>
      <c r="H129" s="13" t="n">
        <v>4.2</v>
      </c>
      <c r="I129" s="11" t="n">
        <v>1269</v>
      </c>
      <c r="J129" s="11" t="n">
        <f aca="false">E129-F129</f>
        <v>17991</v>
      </c>
      <c r="K129" s="10" t="str">
        <f aca="false">IF(G129&lt;0.2,"0-19%",IF(G129&lt;0.4,"20-39%",IF(G129&lt;0.6,"40-59%",IF(G129&lt;0.8,"60-79%","80%+"))))</f>
        <v>60-79%</v>
      </c>
      <c r="L129" s="10" t="str">
        <f aca="false">IF(H129="","No rating",IF(H129&lt;3.5,"Below 3.5",IF(H129&lt;4,"3.5-3.9",IF(H129&lt;4.5,"4.0-4.4","4.5+"))))</f>
        <v>4.0-4.4</v>
      </c>
    </row>
    <row r="130" customFormat="false" ht="15" hidden="false" customHeight="false" outlineLevel="0" collapsed="false">
      <c r="A130" s="10" t="s">
        <v>280</v>
      </c>
      <c r="B130" s="10" t="s">
        <v>281</v>
      </c>
      <c r="C130" s="10" t="s">
        <v>48</v>
      </c>
      <c r="D130" s="10" t="s">
        <v>49</v>
      </c>
      <c r="E130" s="11" t="n">
        <v>599</v>
      </c>
      <c r="F130" s="11" t="n">
        <v>349</v>
      </c>
      <c r="G130" s="12" t="n">
        <v>0.42</v>
      </c>
      <c r="H130" s="13" t="n">
        <v>4.2</v>
      </c>
      <c r="I130" s="11" t="n">
        <v>284</v>
      </c>
      <c r="J130" s="11" t="n">
        <f aca="false">E130-F130</f>
        <v>250</v>
      </c>
      <c r="K130" s="10" t="str">
        <f aca="false">IF(G130&lt;0.2,"0-19%",IF(G130&lt;0.4,"20-39%",IF(G130&lt;0.6,"40-59%",IF(G130&lt;0.8,"60-79%","80%+"))))</f>
        <v>40-59%</v>
      </c>
      <c r="L130" s="10" t="str">
        <f aca="false">IF(H130="","No rating",IF(H130&lt;3.5,"Below 3.5",IF(H130&lt;4,"3.5-3.9",IF(H130&lt;4.5,"4.0-4.4","4.5+"))))</f>
        <v>4.0-4.4</v>
      </c>
    </row>
    <row r="131" customFormat="false" ht="15" hidden="false" customHeight="false" outlineLevel="0" collapsed="false">
      <c r="A131" s="10" t="s">
        <v>282</v>
      </c>
      <c r="B131" s="10" t="s">
        <v>283</v>
      </c>
      <c r="C131" s="10" t="s">
        <v>48</v>
      </c>
      <c r="D131" s="10" t="s">
        <v>49</v>
      </c>
      <c r="E131" s="11" t="n">
        <v>1200</v>
      </c>
      <c r="F131" s="11" t="n">
        <v>489</v>
      </c>
      <c r="G131" s="12" t="n">
        <v>0.59</v>
      </c>
      <c r="H131" s="13" t="n">
        <v>4.4</v>
      </c>
      <c r="I131" s="11" t="n">
        <v>69538</v>
      </c>
      <c r="J131" s="11" t="n">
        <f aca="false">E131-F131</f>
        <v>711</v>
      </c>
      <c r="K131" s="10" t="str">
        <f aca="false">IF(G131&lt;0.2,"0-19%",IF(G131&lt;0.4,"20-39%",IF(G131&lt;0.6,"40-59%",IF(G131&lt;0.8,"60-79%","80%+"))))</f>
        <v>40-59%</v>
      </c>
      <c r="L131" s="10" t="str">
        <f aca="false">IF(H131="","No rating",IF(H131&lt;3.5,"Below 3.5",IF(H131&lt;4,"3.5-3.9",IF(H131&lt;4.5,"4.0-4.4","4.5+"))))</f>
        <v>4.0-4.4</v>
      </c>
    </row>
    <row r="132" customFormat="false" ht="15" hidden="false" customHeight="false" outlineLevel="0" collapsed="false">
      <c r="A132" s="10" t="s">
        <v>284</v>
      </c>
      <c r="B132" s="10" t="s">
        <v>285</v>
      </c>
      <c r="C132" s="10" t="s">
        <v>48</v>
      </c>
      <c r="D132" s="10" t="s">
        <v>49</v>
      </c>
      <c r="E132" s="11" t="n">
        <v>34990</v>
      </c>
      <c r="F132" s="11" t="n">
        <v>23999</v>
      </c>
      <c r="G132" s="12" t="n">
        <v>0.31</v>
      </c>
      <c r="H132" s="13" t="n">
        <v>4.3</v>
      </c>
      <c r="I132" s="11" t="n">
        <v>4703</v>
      </c>
      <c r="J132" s="11" t="n">
        <f aca="false">E132-F132</f>
        <v>10991</v>
      </c>
      <c r="K132" s="10" t="str">
        <f aca="false">IF(G132&lt;0.2,"0-19%",IF(G132&lt;0.4,"20-39%",IF(G132&lt;0.6,"40-59%",IF(G132&lt;0.8,"60-79%","80%+"))))</f>
        <v>20-39%</v>
      </c>
      <c r="L132" s="10" t="str">
        <f aca="false">IF(H132="","No rating",IF(H132&lt;3.5,"Below 3.5",IF(H132&lt;4,"3.5-3.9",IF(H132&lt;4.5,"4.0-4.4","4.5+"))))</f>
        <v>4.0-4.4</v>
      </c>
    </row>
    <row r="133" customFormat="false" ht="15" hidden="false" customHeight="false" outlineLevel="0" collapsed="false">
      <c r="A133" s="10" t="s">
        <v>286</v>
      </c>
      <c r="B133" s="10" t="s">
        <v>287</v>
      </c>
      <c r="C133" s="10" t="s">
        <v>21</v>
      </c>
      <c r="D133" s="10" t="s">
        <v>22</v>
      </c>
      <c r="E133" s="11" t="n">
        <v>999</v>
      </c>
      <c r="F133" s="11" t="n">
        <v>399</v>
      </c>
      <c r="G133" s="12" t="n">
        <v>0.6</v>
      </c>
      <c r="H133" s="13" t="n">
        <v>4.3</v>
      </c>
      <c r="I133" s="11" t="n">
        <v>2806</v>
      </c>
      <c r="J133" s="11" t="n">
        <f aca="false">E133-F133</f>
        <v>600</v>
      </c>
      <c r="K133" s="10" t="str">
        <f aca="false">IF(G133&lt;0.2,"0-19%",IF(G133&lt;0.4,"20-39%",IF(G133&lt;0.6,"40-59%",IF(G133&lt;0.8,"60-79%","80%+"))))</f>
        <v>60-79%</v>
      </c>
      <c r="L133" s="10" t="str">
        <f aca="false">IF(H133="","No rating",IF(H133&lt;3.5,"Below 3.5",IF(H133&lt;4,"3.5-3.9",IF(H133&lt;4.5,"4.0-4.4","4.5+"))))</f>
        <v>4.0-4.4</v>
      </c>
    </row>
    <row r="134" customFormat="false" ht="15" hidden="false" customHeight="false" outlineLevel="0" collapsed="false">
      <c r="A134" s="10" t="s">
        <v>288</v>
      </c>
      <c r="B134" s="10" t="s">
        <v>289</v>
      </c>
      <c r="C134" s="10" t="s">
        <v>48</v>
      </c>
      <c r="D134" s="10" t="s">
        <v>290</v>
      </c>
      <c r="E134" s="11" t="n">
        <v>1299</v>
      </c>
      <c r="F134" s="11" t="n">
        <v>349</v>
      </c>
      <c r="G134" s="12" t="n">
        <v>0.73</v>
      </c>
      <c r="H134" s="13" t="n">
        <v>4</v>
      </c>
      <c r="I134" s="11" t="n">
        <v>3295</v>
      </c>
      <c r="J134" s="11" t="n">
        <f aca="false">E134-F134</f>
        <v>950</v>
      </c>
      <c r="K134" s="10" t="str">
        <f aca="false">IF(G134&lt;0.2,"0-19%",IF(G134&lt;0.4,"20-39%",IF(G134&lt;0.6,"40-59%",IF(G134&lt;0.8,"60-79%","80%+"))))</f>
        <v>60-79%</v>
      </c>
      <c r="L134" s="10" t="str">
        <f aca="false">IF(H134="","No rating",IF(H134&lt;3.5,"Below 3.5",IF(H134&lt;4,"3.5-3.9",IF(H134&lt;4.5,"4.0-4.4","4.5+"))))</f>
        <v>4.0-4.4</v>
      </c>
    </row>
    <row r="135" customFormat="false" ht="15" hidden="false" customHeight="false" outlineLevel="0" collapsed="false">
      <c r="A135" s="10" t="s">
        <v>291</v>
      </c>
      <c r="B135" s="10" t="s">
        <v>292</v>
      </c>
      <c r="C135" s="10" t="s">
        <v>21</v>
      </c>
      <c r="D135" s="10" t="s">
        <v>22</v>
      </c>
      <c r="E135" s="11" t="n">
        <v>299</v>
      </c>
      <c r="F135" s="11" t="n">
        <v>179</v>
      </c>
      <c r="G135" s="12" t="n">
        <v>0.4</v>
      </c>
      <c r="H135" s="13" t="n">
        <v>3.9</v>
      </c>
      <c r="I135" s="11" t="n">
        <v>81</v>
      </c>
      <c r="J135" s="11" t="n">
        <f aca="false">E135-F135</f>
        <v>120</v>
      </c>
      <c r="K135" s="10" t="str">
        <f aca="false">IF(G135&lt;0.2,"0-19%",IF(G135&lt;0.4,"20-39%",IF(G135&lt;0.6,"40-59%",IF(G135&lt;0.8,"60-79%","80%+"))))</f>
        <v>40-59%</v>
      </c>
      <c r="L135" s="10" t="str">
        <f aca="false">IF(H135="","No rating",IF(H135&lt;3.5,"Below 3.5",IF(H135&lt;4,"3.5-3.9",IF(H135&lt;4.5,"4.0-4.4","4.5+"))))</f>
        <v>3.5-3.9</v>
      </c>
    </row>
    <row r="136" customFormat="false" ht="15" hidden="false" customHeight="false" outlineLevel="0" collapsed="false">
      <c r="A136" s="10" t="s">
        <v>293</v>
      </c>
      <c r="B136" s="10" t="s">
        <v>294</v>
      </c>
      <c r="C136" s="10" t="s">
        <v>21</v>
      </c>
      <c r="D136" s="10" t="s">
        <v>22</v>
      </c>
      <c r="E136" s="11" t="n">
        <v>1500</v>
      </c>
      <c r="F136" s="11" t="n">
        <v>689</v>
      </c>
      <c r="G136" s="12" t="n">
        <v>0.54</v>
      </c>
      <c r="H136" s="13" t="n">
        <v>4.2</v>
      </c>
      <c r="I136" s="11" t="n">
        <v>42301</v>
      </c>
      <c r="J136" s="11" t="n">
        <f aca="false">E136-F136</f>
        <v>811</v>
      </c>
      <c r="K136" s="10" t="str">
        <f aca="false">IF(G136&lt;0.2,"0-19%",IF(G136&lt;0.4,"20-39%",IF(G136&lt;0.6,"40-59%",IF(G136&lt;0.8,"60-79%","80%+"))))</f>
        <v>40-59%</v>
      </c>
      <c r="L136" s="10" t="str">
        <f aca="false">IF(H136="","No rating",IF(H136&lt;3.5,"Below 3.5",IF(H136&lt;4,"3.5-3.9",IF(H136&lt;4.5,"4.0-4.4","4.5+"))))</f>
        <v>4.0-4.4</v>
      </c>
    </row>
    <row r="137" customFormat="false" ht="15" hidden="false" customHeight="false" outlineLevel="0" collapsed="false">
      <c r="A137" s="10" t="s">
        <v>295</v>
      </c>
      <c r="B137" s="10" t="s">
        <v>296</v>
      </c>
      <c r="C137" s="10" t="s">
        <v>48</v>
      </c>
      <c r="D137" s="10" t="s">
        <v>49</v>
      </c>
      <c r="E137" s="11" t="n">
        <v>49990</v>
      </c>
      <c r="F137" s="11" t="n">
        <v>30990</v>
      </c>
      <c r="G137" s="12" t="n">
        <v>0.38</v>
      </c>
      <c r="H137" s="13" t="n">
        <v>4.3</v>
      </c>
      <c r="I137" s="11" t="n">
        <v>1376</v>
      </c>
      <c r="J137" s="11" t="n">
        <f aca="false">E137-F137</f>
        <v>19000</v>
      </c>
      <c r="K137" s="10" t="str">
        <f aca="false">IF(G137&lt;0.2,"0-19%",IF(G137&lt;0.4,"20-39%",IF(G137&lt;0.6,"40-59%",IF(G137&lt;0.8,"60-79%","80%+"))))</f>
        <v>20-39%</v>
      </c>
      <c r="L137" s="10" t="str">
        <f aca="false">IF(H137="","No rating",IF(H137&lt;3.5,"Below 3.5",IF(H137&lt;4,"3.5-3.9",IF(H137&lt;4.5,"4.0-4.4","4.5+"))))</f>
        <v>4.0-4.4</v>
      </c>
    </row>
    <row r="138" customFormat="false" ht="15" hidden="false" customHeight="false" outlineLevel="0" collapsed="false">
      <c r="A138" s="10" t="s">
        <v>297</v>
      </c>
      <c r="B138" s="10" t="s">
        <v>298</v>
      </c>
      <c r="C138" s="10" t="s">
        <v>21</v>
      </c>
      <c r="D138" s="10" t="s">
        <v>22</v>
      </c>
      <c r="E138" s="11" t="n">
        <v>931</v>
      </c>
      <c r="F138" s="11" t="n">
        <v>249</v>
      </c>
      <c r="G138" s="12" t="n">
        <v>0.73</v>
      </c>
      <c r="H138" s="13" t="n">
        <v>3.9</v>
      </c>
      <c r="I138" s="11" t="n">
        <v>1075</v>
      </c>
      <c r="J138" s="11" t="n">
        <f aca="false">E138-F138</f>
        <v>682</v>
      </c>
      <c r="K138" s="10" t="str">
        <f aca="false">IF(G138&lt;0.2,"0-19%",IF(G138&lt;0.4,"20-39%",IF(G138&lt;0.6,"40-59%",IF(G138&lt;0.8,"60-79%","80%+"))))</f>
        <v>60-79%</v>
      </c>
      <c r="L138" s="10" t="str">
        <f aca="false">IF(H138="","No rating",IF(H138&lt;3.5,"Below 3.5",IF(H138&lt;4,"3.5-3.9",IF(H138&lt;4.5,"4.0-4.4","4.5+"))))</f>
        <v>3.5-3.9</v>
      </c>
    </row>
    <row r="139" customFormat="false" ht="15" hidden="false" customHeight="false" outlineLevel="0" collapsed="false">
      <c r="A139" s="10" t="s">
        <v>299</v>
      </c>
      <c r="B139" s="10" t="s">
        <v>300</v>
      </c>
      <c r="C139" s="10" t="s">
        <v>48</v>
      </c>
      <c r="D139" s="10" t="s">
        <v>49</v>
      </c>
      <c r="E139" s="11" t="n">
        <v>2399</v>
      </c>
      <c r="F139" s="11" t="n">
        <v>999</v>
      </c>
      <c r="G139" s="12" t="n">
        <v>0.58</v>
      </c>
      <c r="H139" s="13" t="n">
        <v>4.6</v>
      </c>
      <c r="I139" s="11" t="n">
        <v>3664</v>
      </c>
      <c r="J139" s="11" t="n">
        <f aca="false">E139-F139</f>
        <v>1400</v>
      </c>
      <c r="K139" s="10" t="str">
        <f aca="false">IF(G139&lt;0.2,"0-19%",IF(G139&lt;0.4,"20-39%",IF(G139&lt;0.6,"40-59%",IF(G139&lt;0.8,"60-79%","80%+"))))</f>
        <v>40-59%</v>
      </c>
      <c r="L139" s="10" t="str">
        <f aca="false">IF(H139="","No rating",IF(H139&lt;3.5,"Below 3.5",IF(H139&lt;4,"3.5-3.9",IF(H139&lt;4.5,"4.0-4.4","4.5+"))))</f>
        <v>4.5+</v>
      </c>
    </row>
    <row r="140" customFormat="false" ht="15" hidden="false" customHeight="false" outlineLevel="0" collapsed="false">
      <c r="A140" s="10" t="s">
        <v>301</v>
      </c>
      <c r="B140" s="10" t="s">
        <v>302</v>
      </c>
      <c r="C140" s="10" t="s">
        <v>48</v>
      </c>
      <c r="D140" s="10" t="s">
        <v>49</v>
      </c>
      <c r="E140" s="11" t="n">
        <v>399</v>
      </c>
      <c r="F140" s="11" t="n">
        <v>399</v>
      </c>
      <c r="G140" s="12" t="n">
        <v>0</v>
      </c>
      <c r="H140" s="13" t="n">
        <v>3.9</v>
      </c>
      <c r="I140" s="11" t="n">
        <v>1951</v>
      </c>
      <c r="J140" s="11" t="n">
        <f aca="false">E140-F140</f>
        <v>0</v>
      </c>
      <c r="K140" s="10" t="str">
        <f aca="false">IF(G140&lt;0.2,"0-19%",IF(G140&lt;0.4,"20-39%",IF(G140&lt;0.6,"40-59%",IF(G140&lt;0.8,"60-79%","80%+"))))</f>
        <v>0-19%</v>
      </c>
      <c r="L140" s="10" t="str">
        <f aca="false">IF(H140="","No rating",IF(H140&lt;3.5,"Below 3.5",IF(H140&lt;4,"3.5-3.9",IF(H140&lt;4.5,"4.0-4.4","4.5+"))))</f>
        <v>3.5-3.9</v>
      </c>
    </row>
    <row r="141" customFormat="false" ht="15" hidden="false" customHeight="false" outlineLevel="0" collapsed="false">
      <c r="A141" s="10" t="s">
        <v>303</v>
      </c>
      <c r="B141" s="10" t="s">
        <v>304</v>
      </c>
      <c r="C141" s="10" t="s">
        <v>21</v>
      </c>
      <c r="D141" s="10" t="s">
        <v>22</v>
      </c>
      <c r="E141" s="11" t="n">
        <v>699</v>
      </c>
      <c r="F141" s="11" t="n">
        <v>349</v>
      </c>
      <c r="G141" s="12" t="n">
        <v>0.5</v>
      </c>
      <c r="H141" s="13" t="n">
        <v>4.3</v>
      </c>
      <c r="I141" s="11" t="n">
        <v>20850</v>
      </c>
      <c r="J141" s="11" t="n">
        <f aca="false">E141-F141</f>
        <v>350</v>
      </c>
      <c r="K141" s="10" t="str">
        <f aca="false">IF(G141&lt;0.2,"0-19%",IF(G141&lt;0.4,"20-39%",IF(G141&lt;0.6,"40-59%",IF(G141&lt;0.8,"60-79%","80%+"))))</f>
        <v>40-59%</v>
      </c>
      <c r="L141" s="10" t="str">
        <f aca="false">IF(H141="","No rating",IF(H141&lt;3.5,"Below 3.5",IF(H141&lt;4,"3.5-3.9",IF(H141&lt;4.5,"4.0-4.4","4.5+"))))</f>
        <v>4.0-4.4</v>
      </c>
    </row>
    <row r="142" customFormat="false" ht="15" hidden="false" customHeight="false" outlineLevel="0" collapsed="false">
      <c r="A142" s="10" t="s">
        <v>305</v>
      </c>
      <c r="B142" s="10" t="s">
        <v>306</v>
      </c>
      <c r="C142" s="10" t="s">
        <v>21</v>
      </c>
      <c r="D142" s="10" t="s">
        <v>22</v>
      </c>
      <c r="E142" s="11" t="n">
        <v>1099</v>
      </c>
      <c r="F142" s="11" t="n">
        <v>399</v>
      </c>
      <c r="G142" s="12" t="n">
        <v>0.64</v>
      </c>
      <c r="H142" s="13" t="n">
        <v>4.1</v>
      </c>
      <c r="I142" s="11" t="n">
        <v>2685</v>
      </c>
      <c r="J142" s="11" t="n">
        <f aca="false">E142-F142</f>
        <v>700</v>
      </c>
      <c r="K142" s="10" t="str">
        <f aca="false">IF(G142&lt;0.2,"0-19%",IF(G142&lt;0.4,"20-39%",IF(G142&lt;0.6,"40-59%",IF(G142&lt;0.8,"60-79%","80%+"))))</f>
        <v>60-79%</v>
      </c>
      <c r="L142" s="10" t="str">
        <f aca="false">IF(H142="","No rating",IF(H142&lt;3.5,"Below 3.5",IF(H142&lt;4,"3.5-3.9",IF(H142&lt;4.5,"4.0-4.4","4.5+"))))</f>
        <v>4.0-4.4</v>
      </c>
    </row>
    <row r="143" customFormat="false" ht="15" hidden="false" customHeight="false" outlineLevel="0" collapsed="false">
      <c r="A143" s="10" t="s">
        <v>307</v>
      </c>
      <c r="B143" s="10" t="s">
        <v>308</v>
      </c>
      <c r="C143" s="10" t="s">
        <v>21</v>
      </c>
      <c r="D143" s="10" t="s">
        <v>39</v>
      </c>
      <c r="E143" s="11" t="n">
        <v>2999</v>
      </c>
      <c r="F143" s="11" t="n">
        <v>1699</v>
      </c>
      <c r="G143" s="12" t="n">
        <v>0.43</v>
      </c>
      <c r="H143" s="13" t="n">
        <v>4.4</v>
      </c>
      <c r="I143" s="11" t="n">
        <v>24780</v>
      </c>
      <c r="J143" s="11" t="n">
        <f aca="false">E143-F143</f>
        <v>1300</v>
      </c>
      <c r="K143" s="10" t="str">
        <f aca="false">IF(G143&lt;0.2,"0-19%",IF(G143&lt;0.4,"20-39%",IF(G143&lt;0.6,"40-59%",IF(G143&lt;0.8,"60-79%","80%+"))))</f>
        <v>40-59%</v>
      </c>
      <c r="L143" s="10" t="str">
        <f aca="false">IF(H143="","No rating",IF(H143&lt;3.5,"Below 3.5",IF(H143&lt;4,"3.5-3.9",IF(H143&lt;4.5,"4.0-4.4","4.5+"))))</f>
        <v>4.0-4.4</v>
      </c>
    </row>
    <row r="144" customFormat="false" ht="15" hidden="false" customHeight="false" outlineLevel="0" collapsed="false">
      <c r="A144" s="10" t="s">
        <v>309</v>
      </c>
      <c r="B144" s="10" t="s">
        <v>310</v>
      </c>
      <c r="C144" s="10" t="s">
        <v>48</v>
      </c>
      <c r="D144" s="10" t="s">
        <v>49</v>
      </c>
      <c r="E144" s="11" t="n">
        <v>1099</v>
      </c>
      <c r="F144" s="11" t="n">
        <v>655</v>
      </c>
      <c r="G144" s="12" t="n">
        <v>0.4</v>
      </c>
      <c r="H144" s="13" t="n">
        <v>3.2</v>
      </c>
      <c r="I144" s="11" t="n">
        <v>285</v>
      </c>
      <c r="J144" s="11" t="n">
        <f aca="false">E144-F144</f>
        <v>444</v>
      </c>
      <c r="K144" s="10" t="str">
        <f aca="false">IF(G144&lt;0.2,"0-19%",IF(G144&lt;0.4,"20-39%",IF(G144&lt;0.6,"40-59%",IF(G144&lt;0.8,"60-79%","80%+"))))</f>
        <v>40-59%</v>
      </c>
      <c r="L144" s="10" t="str">
        <f aca="false">IF(H144="","No rating",IF(H144&lt;3.5,"Below 3.5",IF(H144&lt;4,"3.5-3.9",IF(H144&lt;4.5,"4.0-4.4","4.5+"))))</f>
        <v>Below 3.5</v>
      </c>
    </row>
    <row r="145" customFormat="false" ht="15" hidden="false" customHeight="false" outlineLevel="0" collapsed="false">
      <c r="A145" s="10" t="s">
        <v>311</v>
      </c>
      <c r="B145" s="10" t="s">
        <v>312</v>
      </c>
      <c r="C145" s="10" t="s">
        <v>21</v>
      </c>
      <c r="D145" s="10" t="s">
        <v>39</v>
      </c>
      <c r="E145" s="11" t="n">
        <v>1339</v>
      </c>
      <c r="F145" s="11" t="n">
        <v>749</v>
      </c>
      <c r="G145" s="12" t="n">
        <v>0.44</v>
      </c>
      <c r="H145" s="13" t="n">
        <v>4.2</v>
      </c>
      <c r="I145" s="11" t="n">
        <v>179692</v>
      </c>
      <c r="J145" s="11" t="n">
        <f aca="false">E145-F145</f>
        <v>590</v>
      </c>
      <c r="K145" s="10" t="str">
        <f aca="false">IF(G145&lt;0.2,"0-19%",IF(G145&lt;0.4,"20-39%",IF(G145&lt;0.6,"40-59%",IF(G145&lt;0.8,"60-79%","80%+"))))</f>
        <v>40-59%</v>
      </c>
      <c r="L145" s="10" t="str">
        <f aca="false">IF(H145="","No rating",IF(H145&lt;3.5,"Below 3.5",IF(H145&lt;4,"3.5-3.9",IF(H145&lt;4.5,"4.0-4.4","4.5+"))))</f>
        <v>4.0-4.4</v>
      </c>
    </row>
    <row r="146" customFormat="false" ht="15" hidden="false" customHeight="false" outlineLevel="0" collapsed="false">
      <c r="A146" s="10" t="s">
        <v>313</v>
      </c>
      <c r="B146" s="10" t="s">
        <v>314</v>
      </c>
      <c r="C146" s="10" t="s">
        <v>48</v>
      </c>
      <c r="D146" s="10" t="s">
        <v>49</v>
      </c>
      <c r="E146" s="11" t="n">
        <v>12999</v>
      </c>
      <c r="F146" s="11" t="n">
        <v>9999</v>
      </c>
      <c r="G146" s="12" t="n">
        <v>0.23</v>
      </c>
      <c r="H146" s="13" t="n">
        <v>4.2</v>
      </c>
      <c r="I146" s="11" t="n">
        <v>6088</v>
      </c>
      <c r="J146" s="11" t="n">
        <f aca="false">E146-F146</f>
        <v>3000</v>
      </c>
      <c r="K146" s="10" t="str">
        <f aca="false">IF(G146&lt;0.2,"0-19%",IF(G146&lt;0.4,"20-39%",IF(G146&lt;0.6,"40-59%",IF(G146&lt;0.8,"60-79%","80%+"))))</f>
        <v>20-39%</v>
      </c>
      <c r="L146" s="10" t="str">
        <f aca="false">IF(H146="","No rating",IF(H146&lt;3.5,"Below 3.5",IF(H146&lt;4,"3.5-3.9",IF(H146&lt;4.5,"4.0-4.4","4.5+"))))</f>
        <v>4.0-4.4</v>
      </c>
    </row>
    <row r="147" customFormat="false" ht="15" hidden="false" customHeight="false" outlineLevel="0" collapsed="false">
      <c r="A147" s="10" t="s">
        <v>315</v>
      </c>
      <c r="B147" s="10" t="s">
        <v>316</v>
      </c>
      <c r="C147" s="10" t="s">
        <v>48</v>
      </c>
      <c r="D147" s="10" t="s">
        <v>49</v>
      </c>
      <c r="E147" s="11" t="n">
        <v>499</v>
      </c>
      <c r="F147" s="11" t="n">
        <v>195</v>
      </c>
      <c r="G147" s="12" t="n">
        <v>0.61</v>
      </c>
      <c r="H147" s="13" t="n">
        <v>3.7</v>
      </c>
      <c r="I147" s="11" t="n">
        <v>1383</v>
      </c>
      <c r="J147" s="11" t="n">
        <f aca="false">E147-F147</f>
        <v>304</v>
      </c>
      <c r="K147" s="10" t="str">
        <f aca="false">IF(G147&lt;0.2,"0-19%",IF(G147&lt;0.4,"20-39%",IF(G147&lt;0.6,"40-59%",IF(G147&lt;0.8,"60-79%","80%+"))))</f>
        <v>60-79%</v>
      </c>
      <c r="L147" s="10" t="str">
        <f aca="false">IF(H147="","No rating",IF(H147&lt;3.5,"Below 3.5",IF(H147&lt;4,"3.5-3.9",IF(H147&lt;4.5,"4.0-4.4","4.5+"))))</f>
        <v>3.5-3.9</v>
      </c>
    </row>
    <row r="148" customFormat="false" ht="15" hidden="false" customHeight="false" outlineLevel="0" collapsed="false">
      <c r="A148" s="10" t="s">
        <v>317</v>
      </c>
      <c r="B148" s="10" t="s">
        <v>318</v>
      </c>
      <c r="C148" s="10" t="s">
        <v>21</v>
      </c>
      <c r="D148" s="10" t="s">
        <v>22</v>
      </c>
      <c r="E148" s="11" t="n">
        <v>2100</v>
      </c>
      <c r="F148" s="11" t="n">
        <v>999</v>
      </c>
      <c r="G148" s="12" t="n">
        <v>0.52</v>
      </c>
      <c r="H148" s="13" t="n">
        <v>4.5</v>
      </c>
      <c r="I148" s="11" t="n">
        <v>5492</v>
      </c>
      <c r="J148" s="11" t="n">
        <f aca="false">E148-F148</f>
        <v>1101</v>
      </c>
      <c r="K148" s="10" t="str">
        <f aca="false">IF(G148&lt;0.2,"0-19%",IF(G148&lt;0.4,"20-39%",IF(G148&lt;0.6,"40-59%",IF(G148&lt;0.8,"60-79%","80%+"))))</f>
        <v>40-59%</v>
      </c>
      <c r="L148" s="10" t="str">
        <f aca="false">IF(H148="","No rating",IF(H148&lt;3.5,"Below 3.5",IF(H148&lt;4,"3.5-3.9",IF(H148&lt;4.5,"4.0-4.4","4.5+"))))</f>
        <v>4.5+</v>
      </c>
    </row>
    <row r="149" customFormat="false" ht="15" hidden="false" customHeight="false" outlineLevel="0" collapsed="false">
      <c r="A149" s="10" t="s">
        <v>319</v>
      </c>
      <c r="B149" s="10" t="s">
        <v>320</v>
      </c>
      <c r="C149" s="10" t="s">
        <v>21</v>
      </c>
      <c r="D149" s="10" t="s">
        <v>22</v>
      </c>
      <c r="E149" s="11" t="n">
        <v>899</v>
      </c>
      <c r="F149" s="11" t="n">
        <v>499</v>
      </c>
      <c r="G149" s="12" t="n">
        <v>0.44</v>
      </c>
      <c r="H149" s="13" t="n">
        <v>4.2</v>
      </c>
      <c r="I149" s="11" t="n">
        <v>919</v>
      </c>
      <c r="J149" s="11" t="n">
        <f aca="false">E149-F149</f>
        <v>400</v>
      </c>
      <c r="K149" s="10" t="str">
        <f aca="false">IF(G149&lt;0.2,"0-19%",IF(G149&lt;0.4,"20-39%",IF(G149&lt;0.6,"40-59%",IF(G149&lt;0.8,"60-79%","80%+"))))</f>
        <v>40-59%</v>
      </c>
      <c r="L149" s="10" t="str">
        <f aca="false">IF(H149="","No rating",IF(H149&lt;3.5,"Below 3.5",IF(H149&lt;4,"3.5-3.9",IF(H149&lt;4.5,"4.0-4.4","4.5+"))))</f>
        <v>4.0-4.4</v>
      </c>
    </row>
    <row r="150" customFormat="false" ht="15" hidden="false" customHeight="false" outlineLevel="0" collapsed="false">
      <c r="A150" s="10" t="s">
        <v>321</v>
      </c>
      <c r="B150" s="10" t="s">
        <v>322</v>
      </c>
      <c r="C150" s="10" t="s">
        <v>48</v>
      </c>
      <c r="D150" s="10" t="s">
        <v>49</v>
      </c>
      <c r="E150" s="11" t="n">
        <v>599</v>
      </c>
      <c r="F150" s="11" t="n">
        <v>416</v>
      </c>
      <c r="G150" s="12" t="n">
        <v>0.31</v>
      </c>
      <c r="H150" s="13" t="n">
        <v>4.2</v>
      </c>
      <c r="I150" s="11" t="n">
        <v>30023</v>
      </c>
      <c r="J150" s="11" t="n">
        <f aca="false">E150-F150</f>
        <v>183</v>
      </c>
      <c r="K150" s="10" t="str">
        <f aca="false">IF(G150&lt;0.2,"0-19%",IF(G150&lt;0.4,"20-39%",IF(G150&lt;0.6,"40-59%",IF(G150&lt;0.8,"60-79%","80%+"))))</f>
        <v>20-39%</v>
      </c>
      <c r="L150" s="10" t="str">
        <f aca="false">IF(H150="","No rating",IF(H150&lt;3.5,"Below 3.5",IF(H150&lt;4,"3.5-3.9",IF(H150&lt;4.5,"4.0-4.4","4.5+"))))</f>
        <v>4.0-4.4</v>
      </c>
    </row>
    <row r="151" customFormat="false" ht="15" hidden="false" customHeight="false" outlineLevel="0" collapsed="false">
      <c r="A151" s="10" t="s">
        <v>323</v>
      </c>
      <c r="B151" s="10" t="s">
        <v>324</v>
      </c>
      <c r="C151" s="10" t="s">
        <v>21</v>
      </c>
      <c r="D151" s="10" t="s">
        <v>22</v>
      </c>
      <c r="E151" s="11" t="n">
        <v>699</v>
      </c>
      <c r="F151" s="11" t="n">
        <v>368</v>
      </c>
      <c r="G151" s="12" t="n">
        <v>0.47</v>
      </c>
      <c r="H151" s="13" t="n">
        <v>4.2</v>
      </c>
      <c r="I151" s="11" t="n">
        <v>387</v>
      </c>
      <c r="J151" s="11" t="n">
        <f aca="false">E151-F151</f>
        <v>331</v>
      </c>
      <c r="K151" s="10" t="str">
        <f aca="false">IF(G151&lt;0.2,"0-19%",IF(G151&lt;0.4,"20-39%",IF(G151&lt;0.6,"40-59%",IF(G151&lt;0.8,"60-79%","80%+"))))</f>
        <v>40-59%</v>
      </c>
      <c r="L151" s="10" t="str">
        <f aca="false">IF(H151="","No rating",IF(H151&lt;3.5,"Below 3.5",IF(H151&lt;4,"3.5-3.9",IF(H151&lt;4.5,"4.0-4.4","4.5+"))))</f>
        <v>4.0-4.4</v>
      </c>
    </row>
    <row r="152" customFormat="false" ht="15" hidden="false" customHeight="false" outlineLevel="0" collapsed="false">
      <c r="A152" s="10" t="s">
        <v>325</v>
      </c>
      <c r="B152" s="10" t="s">
        <v>326</v>
      </c>
      <c r="C152" s="10" t="s">
        <v>48</v>
      </c>
      <c r="D152" s="10" t="s">
        <v>49</v>
      </c>
      <c r="E152" s="11" t="n">
        <v>65000</v>
      </c>
      <c r="F152" s="11" t="n">
        <v>29990</v>
      </c>
      <c r="G152" s="12" t="n">
        <v>0.54</v>
      </c>
      <c r="H152" s="13" t="n">
        <v>4.1</v>
      </c>
      <c r="I152" s="11" t="n">
        <v>211</v>
      </c>
      <c r="J152" s="11" t="n">
        <f aca="false">E152-F152</f>
        <v>35010</v>
      </c>
      <c r="K152" s="10" t="str">
        <f aca="false">IF(G152&lt;0.2,"0-19%",IF(G152&lt;0.4,"20-39%",IF(G152&lt;0.6,"40-59%",IF(G152&lt;0.8,"60-79%","80%+"))))</f>
        <v>40-59%</v>
      </c>
      <c r="L152" s="10" t="str">
        <f aca="false">IF(H152="","No rating",IF(H152&lt;3.5,"Below 3.5",IF(H152&lt;4,"3.5-3.9",IF(H152&lt;4.5,"4.0-4.4","4.5+"))))</f>
        <v>4.0-4.4</v>
      </c>
    </row>
    <row r="153" customFormat="false" ht="15" hidden="false" customHeight="false" outlineLevel="0" collapsed="false">
      <c r="A153" s="10" t="s">
        <v>327</v>
      </c>
      <c r="B153" s="10" t="s">
        <v>328</v>
      </c>
      <c r="C153" s="10" t="s">
        <v>21</v>
      </c>
      <c r="D153" s="10" t="s">
        <v>22</v>
      </c>
      <c r="E153" s="11" t="n">
        <v>1099</v>
      </c>
      <c r="F153" s="11" t="n">
        <v>339</v>
      </c>
      <c r="G153" s="12" t="n">
        <v>0.69</v>
      </c>
      <c r="H153" s="13" t="n">
        <v>4.3</v>
      </c>
      <c r="I153" s="11" t="n">
        <v>974</v>
      </c>
      <c r="J153" s="11" t="n">
        <f aca="false">E153-F153</f>
        <v>760</v>
      </c>
      <c r="K153" s="10" t="str">
        <f aca="false">IF(G153&lt;0.2,"0-19%",IF(G153&lt;0.4,"20-39%",IF(G153&lt;0.6,"40-59%",IF(G153&lt;0.8,"60-79%","80%+"))))</f>
        <v>60-79%</v>
      </c>
      <c r="L153" s="10" t="str">
        <f aca="false">IF(H153="","No rating",IF(H153&lt;3.5,"Below 3.5",IF(H153&lt;4,"3.5-3.9",IF(H153&lt;4.5,"4.0-4.4","4.5+"))))</f>
        <v>4.0-4.4</v>
      </c>
    </row>
    <row r="154" customFormat="false" ht="15" hidden="false" customHeight="false" outlineLevel="0" collapsed="false">
      <c r="A154" s="10" t="s">
        <v>329</v>
      </c>
      <c r="B154" s="10" t="s">
        <v>330</v>
      </c>
      <c r="C154" s="10" t="s">
        <v>48</v>
      </c>
      <c r="D154" s="10" t="s">
        <v>49</v>
      </c>
      <c r="E154" s="11" t="n">
        <v>20900</v>
      </c>
      <c r="F154" s="11" t="n">
        <v>15490</v>
      </c>
      <c r="G154" s="12" t="n">
        <v>0.26</v>
      </c>
      <c r="H154" s="13" t="n">
        <v>4.3</v>
      </c>
      <c r="I154" s="11" t="n">
        <v>16299</v>
      </c>
      <c r="J154" s="11" t="n">
        <f aca="false">E154-F154</f>
        <v>5410</v>
      </c>
      <c r="K154" s="10" t="str">
        <f aca="false">IF(G154&lt;0.2,"0-19%",IF(G154&lt;0.4,"20-39%",IF(G154&lt;0.6,"40-59%",IF(G154&lt;0.8,"60-79%","80%+"))))</f>
        <v>20-39%</v>
      </c>
      <c r="L154" s="10" t="str">
        <f aca="false">IF(H154="","No rating",IF(H154&lt;3.5,"Below 3.5",IF(H154&lt;4,"3.5-3.9",IF(H154&lt;4.5,"4.0-4.4","4.5+"))))</f>
        <v>4.0-4.4</v>
      </c>
    </row>
    <row r="155" customFormat="false" ht="15" hidden="false" customHeight="false" outlineLevel="0" collapsed="false">
      <c r="A155" s="10" t="s">
        <v>331</v>
      </c>
      <c r="B155" s="10" t="s">
        <v>332</v>
      </c>
      <c r="C155" s="10" t="s">
        <v>21</v>
      </c>
      <c r="D155" s="10" t="s">
        <v>22</v>
      </c>
      <c r="E155" s="11" t="n">
        <v>1299</v>
      </c>
      <c r="F155" s="11" t="n">
        <v>499</v>
      </c>
      <c r="G155" s="12" t="n">
        <v>0.62</v>
      </c>
      <c r="H155" s="13" t="n">
        <v>4.3</v>
      </c>
      <c r="I155" s="11" t="n">
        <v>30411</v>
      </c>
      <c r="J155" s="11" t="n">
        <f aca="false">E155-F155</f>
        <v>800</v>
      </c>
      <c r="K155" s="10" t="str">
        <f aca="false">IF(G155&lt;0.2,"0-19%",IF(G155&lt;0.4,"20-39%",IF(G155&lt;0.6,"40-59%",IF(G155&lt;0.8,"60-79%","80%+"))))</f>
        <v>60-79%</v>
      </c>
      <c r="L155" s="10" t="str">
        <f aca="false">IF(H155="","No rating",IF(H155&lt;3.5,"Below 3.5",IF(H155&lt;4,"3.5-3.9",IF(H155&lt;4.5,"4.0-4.4","4.5+"))))</f>
        <v>4.0-4.4</v>
      </c>
    </row>
    <row r="156" customFormat="false" ht="15" hidden="false" customHeight="false" outlineLevel="0" collapsed="false">
      <c r="A156" s="10" t="s">
        <v>333</v>
      </c>
      <c r="B156" s="10" t="s">
        <v>334</v>
      </c>
      <c r="C156" s="10" t="s">
        <v>21</v>
      </c>
      <c r="D156" s="10" t="s">
        <v>39</v>
      </c>
      <c r="E156" s="11" t="n">
        <v>399</v>
      </c>
      <c r="F156" s="11" t="n">
        <v>249</v>
      </c>
      <c r="G156" s="12" t="n">
        <v>0.38</v>
      </c>
      <c r="H156" s="13" t="n">
        <v>3.4</v>
      </c>
      <c r="I156" s="11" t="n">
        <v>4642</v>
      </c>
      <c r="J156" s="11" t="n">
        <f aca="false">E156-F156</f>
        <v>150</v>
      </c>
      <c r="K156" s="10" t="str">
        <f aca="false">IF(G156&lt;0.2,"0-19%",IF(G156&lt;0.4,"20-39%",IF(G156&lt;0.6,"40-59%",IF(G156&lt;0.8,"60-79%","80%+"))))</f>
        <v>20-39%</v>
      </c>
      <c r="L156" s="10" t="str">
        <f aca="false">IF(H156="","No rating",IF(H156&lt;3.5,"Below 3.5",IF(H156&lt;4,"3.5-3.9",IF(H156&lt;4.5,"4.0-4.4","4.5+"))))</f>
        <v>Below 3.5</v>
      </c>
    </row>
    <row r="157" customFormat="false" ht="15" hidden="false" customHeight="false" outlineLevel="0" collapsed="false">
      <c r="A157" s="10" t="s">
        <v>335</v>
      </c>
      <c r="B157" s="10" t="s">
        <v>336</v>
      </c>
      <c r="C157" s="10" t="s">
        <v>48</v>
      </c>
      <c r="D157" s="10" t="s">
        <v>49</v>
      </c>
      <c r="E157" s="11" t="n">
        <v>799</v>
      </c>
      <c r="F157" s="11" t="n">
        <v>399</v>
      </c>
      <c r="G157" s="12" t="n">
        <v>0.5</v>
      </c>
      <c r="H157" s="13" t="n">
        <v>4.3</v>
      </c>
      <c r="I157" s="11" t="n">
        <v>12</v>
      </c>
      <c r="J157" s="11" t="n">
        <f aca="false">E157-F157</f>
        <v>400</v>
      </c>
      <c r="K157" s="10" t="str">
        <f aca="false">IF(G157&lt;0.2,"0-19%",IF(G157&lt;0.4,"20-39%",IF(G157&lt;0.6,"40-59%",IF(G157&lt;0.8,"60-79%","80%+"))))</f>
        <v>40-59%</v>
      </c>
      <c r="L157" s="10" t="str">
        <f aca="false">IF(H157="","No rating",IF(H157&lt;3.5,"Below 3.5",IF(H157&lt;4,"3.5-3.9",IF(H157&lt;4.5,"4.0-4.4","4.5+"))))</f>
        <v>4.0-4.4</v>
      </c>
    </row>
    <row r="158" customFormat="false" ht="15" hidden="false" customHeight="false" outlineLevel="0" collapsed="false">
      <c r="A158" s="10" t="s">
        <v>337</v>
      </c>
      <c r="B158" s="10" t="s">
        <v>338</v>
      </c>
      <c r="C158" s="10" t="s">
        <v>21</v>
      </c>
      <c r="D158" s="10" t="s">
        <v>22</v>
      </c>
      <c r="E158" s="11" t="n">
        <v>1999</v>
      </c>
      <c r="F158" s="11" t="n">
        <v>1499</v>
      </c>
      <c r="G158" s="12" t="n">
        <v>0.25</v>
      </c>
      <c r="H158" s="13" t="n">
        <v>4.4</v>
      </c>
      <c r="I158" s="11" t="n">
        <v>1951</v>
      </c>
      <c r="J158" s="11" t="n">
        <f aca="false">E158-F158</f>
        <v>500</v>
      </c>
      <c r="K158" s="10" t="str">
        <f aca="false">IF(G158&lt;0.2,"0-19%",IF(G158&lt;0.4,"20-39%",IF(G158&lt;0.6,"40-59%",IF(G158&lt;0.8,"60-79%","80%+"))))</f>
        <v>20-39%</v>
      </c>
      <c r="L158" s="10" t="str">
        <f aca="false">IF(H158="","No rating",IF(H158&lt;3.5,"Below 3.5",IF(H158&lt;4,"3.5-3.9",IF(H158&lt;4.5,"4.0-4.4","4.5+"))))</f>
        <v>4.0-4.4</v>
      </c>
    </row>
    <row r="159" customFormat="false" ht="15" hidden="false" customHeight="false" outlineLevel="0" collapsed="false">
      <c r="A159" s="10" t="s">
        <v>339</v>
      </c>
      <c r="B159" s="10" t="s">
        <v>340</v>
      </c>
      <c r="C159" s="10" t="s">
        <v>48</v>
      </c>
      <c r="D159" s="10" t="s">
        <v>49</v>
      </c>
      <c r="E159" s="11" t="n">
        <v>15990</v>
      </c>
      <c r="F159" s="11" t="n">
        <v>9490</v>
      </c>
      <c r="G159" s="12" t="n">
        <v>0.41</v>
      </c>
      <c r="H159" s="13" t="n">
        <v>3.9</v>
      </c>
      <c r="I159" s="11" t="n">
        <v>10480</v>
      </c>
      <c r="J159" s="11" t="n">
        <f aca="false">E159-F159</f>
        <v>6500</v>
      </c>
      <c r="K159" s="10" t="str">
        <f aca="false">IF(G159&lt;0.2,"0-19%",IF(G159&lt;0.4,"20-39%",IF(G159&lt;0.6,"40-59%",IF(G159&lt;0.8,"60-79%","80%+"))))</f>
        <v>40-59%</v>
      </c>
      <c r="L159" s="10" t="str">
        <f aca="false">IF(H159="","No rating",IF(H159&lt;3.5,"Below 3.5",IF(H159&lt;4,"3.5-3.9",IF(H159&lt;4.5,"4.0-4.4","4.5+"))))</f>
        <v>3.5-3.9</v>
      </c>
    </row>
    <row r="160" customFormat="false" ht="15" hidden="false" customHeight="false" outlineLevel="0" collapsed="false">
      <c r="A160" s="10" t="s">
        <v>341</v>
      </c>
      <c r="B160" s="10" t="s">
        <v>342</v>
      </c>
      <c r="C160" s="10" t="s">
        <v>48</v>
      </c>
      <c r="D160" s="10" t="s">
        <v>49</v>
      </c>
      <c r="E160" s="11" t="n">
        <v>1499</v>
      </c>
      <c r="F160" s="11" t="n">
        <v>637</v>
      </c>
      <c r="G160" s="12" t="n">
        <v>0.58</v>
      </c>
      <c r="H160" s="13" t="n">
        <v>4.1</v>
      </c>
      <c r="I160" s="11" t="n">
        <v>24</v>
      </c>
      <c r="J160" s="11" t="n">
        <f aca="false">E160-F160</f>
        <v>862</v>
      </c>
      <c r="K160" s="10" t="str">
        <f aca="false">IF(G160&lt;0.2,"0-19%",IF(G160&lt;0.4,"20-39%",IF(G160&lt;0.6,"40-59%",IF(G160&lt;0.8,"60-79%","80%+"))))</f>
        <v>40-59%</v>
      </c>
      <c r="L160" s="10" t="str">
        <f aca="false">IF(H160="","No rating",IF(H160&lt;3.5,"Below 3.5",IF(H160&lt;4,"3.5-3.9",IF(H160&lt;4.5,"4.0-4.4","4.5+"))))</f>
        <v>4.0-4.4</v>
      </c>
    </row>
    <row r="161" customFormat="false" ht="15" hidden="false" customHeight="false" outlineLevel="0" collapsed="false">
      <c r="A161" s="10" t="s">
        <v>343</v>
      </c>
      <c r="B161" s="10" t="s">
        <v>344</v>
      </c>
      <c r="C161" s="10" t="s">
        <v>48</v>
      </c>
      <c r="D161" s="10" t="s">
        <v>49</v>
      </c>
      <c r="E161" s="11" t="n">
        <v>899</v>
      </c>
      <c r="F161" s="11" t="n">
        <v>399</v>
      </c>
      <c r="G161" s="12" t="n">
        <v>0.56</v>
      </c>
      <c r="H161" s="13" t="n">
        <v>3.9</v>
      </c>
      <c r="I161" s="11" t="n">
        <v>254</v>
      </c>
      <c r="J161" s="11" t="n">
        <f aca="false">E161-F161</f>
        <v>500</v>
      </c>
      <c r="K161" s="10" t="str">
        <f aca="false">IF(G161&lt;0.2,"0-19%",IF(G161&lt;0.4,"20-39%",IF(G161&lt;0.6,"40-59%",IF(G161&lt;0.8,"60-79%","80%+"))))</f>
        <v>40-59%</v>
      </c>
      <c r="L161" s="10" t="str">
        <f aca="false">IF(H161="","No rating",IF(H161&lt;3.5,"Below 3.5",IF(H161&lt;4,"3.5-3.9",IF(H161&lt;4.5,"4.0-4.4","4.5+"))))</f>
        <v>3.5-3.9</v>
      </c>
    </row>
    <row r="162" customFormat="false" ht="15" hidden="false" customHeight="false" outlineLevel="0" collapsed="false">
      <c r="A162" s="10" t="s">
        <v>345</v>
      </c>
      <c r="B162" s="10" t="s">
        <v>346</v>
      </c>
      <c r="C162" s="10" t="s">
        <v>48</v>
      </c>
      <c r="D162" s="10" t="s">
        <v>49</v>
      </c>
      <c r="E162" s="11" t="n">
        <v>1600</v>
      </c>
      <c r="F162" s="11" t="n">
        <v>1089</v>
      </c>
      <c r="G162" s="12" t="n">
        <v>0.32</v>
      </c>
      <c r="H162" s="13" t="n">
        <v>4</v>
      </c>
      <c r="I162" s="11" t="n">
        <v>3565</v>
      </c>
      <c r="J162" s="11" t="n">
        <f aca="false">E162-F162</f>
        <v>511</v>
      </c>
      <c r="K162" s="10" t="str">
        <f aca="false">IF(G162&lt;0.2,"0-19%",IF(G162&lt;0.4,"20-39%",IF(G162&lt;0.6,"40-59%",IF(G162&lt;0.8,"60-79%","80%+"))))</f>
        <v>20-39%</v>
      </c>
      <c r="L162" s="10" t="str">
        <f aca="false">IF(H162="","No rating",IF(H162&lt;3.5,"Below 3.5",IF(H162&lt;4,"3.5-3.9",IF(H162&lt;4.5,"4.0-4.4","4.5+"))))</f>
        <v>4.0-4.4</v>
      </c>
    </row>
    <row r="163" customFormat="false" ht="15" hidden="false" customHeight="false" outlineLevel="0" collapsed="false">
      <c r="A163" s="10" t="s">
        <v>347</v>
      </c>
      <c r="B163" s="10" t="s">
        <v>348</v>
      </c>
      <c r="C163" s="10" t="s">
        <v>21</v>
      </c>
      <c r="D163" s="10" t="s">
        <v>22</v>
      </c>
      <c r="E163" s="11" t="n">
        <v>999</v>
      </c>
      <c r="F163" s="11" t="n">
        <v>339</v>
      </c>
      <c r="G163" s="12" t="n">
        <v>0.66</v>
      </c>
      <c r="H163" s="13" t="n">
        <v>4.3</v>
      </c>
      <c r="I163" s="11" t="n">
        <v>6255</v>
      </c>
      <c r="J163" s="11" t="n">
        <f aca="false">E163-F163</f>
        <v>660</v>
      </c>
      <c r="K163" s="10" t="str">
        <f aca="false">IF(G163&lt;0.2,"0-19%",IF(G163&lt;0.4,"20-39%",IF(G163&lt;0.6,"40-59%",IF(G163&lt;0.8,"60-79%","80%+"))))</f>
        <v>60-79%</v>
      </c>
      <c r="L163" s="10" t="str">
        <f aca="false">IF(H163="","No rating",IF(H163&lt;3.5,"Below 3.5",IF(H163&lt;4,"3.5-3.9",IF(H163&lt;4.5,"4.0-4.4","4.5+"))))</f>
        <v>4.0-4.4</v>
      </c>
    </row>
    <row r="164" customFormat="false" ht="15" hidden="false" customHeight="false" outlineLevel="0" collapsed="false">
      <c r="A164" s="10" t="s">
        <v>349</v>
      </c>
      <c r="B164" s="10" t="s">
        <v>350</v>
      </c>
      <c r="C164" s="10" t="s">
        <v>21</v>
      </c>
      <c r="D164" s="10" t="s">
        <v>22</v>
      </c>
      <c r="E164" s="11" t="n">
        <v>499</v>
      </c>
      <c r="F164" s="11" t="n">
        <v>149</v>
      </c>
      <c r="G164" s="12" t="n">
        <v>0.7</v>
      </c>
      <c r="H164" s="13" t="n">
        <v>4</v>
      </c>
      <c r="I164" s="11" t="n">
        <v>7732</v>
      </c>
      <c r="J164" s="11" t="n">
        <f aca="false">E164-F164</f>
        <v>350</v>
      </c>
      <c r="K164" s="10" t="str">
        <f aca="false">IF(G164&lt;0.2,"0-19%",IF(G164&lt;0.4,"20-39%",IF(G164&lt;0.6,"40-59%",IF(G164&lt;0.8,"60-79%","80%+"))))</f>
        <v>60-79%</v>
      </c>
      <c r="L164" s="10" t="str">
        <f aca="false">IF(H164="","No rating",IF(H164&lt;3.5,"Below 3.5",IF(H164&lt;4,"3.5-3.9",IF(H164&lt;4.5,"4.0-4.4","4.5+"))))</f>
        <v>4.0-4.4</v>
      </c>
    </row>
    <row r="165" customFormat="false" ht="15" hidden="false" customHeight="false" outlineLevel="0" collapsed="false">
      <c r="A165" s="10" t="s">
        <v>351</v>
      </c>
      <c r="B165" s="10" t="s">
        <v>352</v>
      </c>
      <c r="C165" s="10" t="s">
        <v>21</v>
      </c>
      <c r="D165" s="10" t="s">
        <v>22</v>
      </c>
      <c r="E165" s="11" t="n">
        <v>399</v>
      </c>
      <c r="F165" s="11" t="n">
        <v>149</v>
      </c>
      <c r="G165" s="12" t="n">
        <v>0.63</v>
      </c>
      <c r="H165" s="13" t="n">
        <v>3.9</v>
      </c>
      <c r="I165" s="11" t="n">
        <v>57</v>
      </c>
      <c r="J165" s="11" t="n">
        <f aca="false">E165-F165</f>
        <v>250</v>
      </c>
      <c r="K165" s="10" t="str">
        <f aca="false">IF(G165&lt;0.2,"0-19%",IF(G165&lt;0.4,"20-39%",IF(G165&lt;0.6,"40-59%",IF(G165&lt;0.8,"60-79%","80%+"))))</f>
        <v>60-79%</v>
      </c>
      <c r="L165" s="10" t="str">
        <f aca="false">IF(H165="","No rating",IF(H165&lt;3.5,"Below 3.5",IF(H165&lt;4,"3.5-3.9",IF(H165&lt;4.5,"4.0-4.4","4.5+"))))</f>
        <v>3.5-3.9</v>
      </c>
    </row>
    <row r="166" customFormat="false" ht="15" hidden="false" customHeight="false" outlineLevel="0" collapsed="false">
      <c r="A166" s="10" t="s">
        <v>353</v>
      </c>
      <c r="B166" s="10" t="s">
        <v>354</v>
      </c>
      <c r="C166" s="10" t="s">
        <v>21</v>
      </c>
      <c r="D166" s="10" t="s">
        <v>22</v>
      </c>
      <c r="E166" s="11" t="n">
        <v>849</v>
      </c>
      <c r="F166" s="11" t="n">
        <v>599</v>
      </c>
      <c r="G166" s="12" t="n">
        <v>0.29</v>
      </c>
      <c r="H166" s="13" t="n">
        <v>4.5</v>
      </c>
      <c r="I166" s="11" t="n">
        <v>577</v>
      </c>
      <c r="J166" s="11" t="n">
        <f aca="false">E166-F166</f>
        <v>250</v>
      </c>
      <c r="K166" s="10" t="str">
        <f aca="false">IF(G166&lt;0.2,"0-19%",IF(G166&lt;0.4,"20-39%",IF(G166&lt;0.6,"40-59%",IF(G166&lt;0.8,"60-79%","80%+"))))</f>
        <v>20-39%</v>
      </c>
      <c r="L166" s="10" t="str">
        <f aca="false">IF(H166="","No rating",IF(H166&lt;3.5,"Below 3.5",IF(H166&lt;4,"3.5-3.9",IF(H166&lt;4.5,"4.0-4.4","4.5+"))))</f>
        <v>4.5+</v>
      </c>
    </row>
    <row r="167" customFormat="false" ht="15" hidden="false" customHeight="false" outlineLevel="0" collapsed="false">
      <c r="A167" s="10" t="s">
        <v>355</v>
      </c>
      <c r="B167" s="10" t="s">
        <v>356</v>
      </c>
      <c r="C167" s="10" t="s">
        <v>48</v>
      </c>
      <c r="D167" s="10" t="s">
        <v>49</v>
      </c>
      <c r="E167" s="11" t="n">
        <v>1199</v>
      </c>
      <c r="F167" s="11" t="n">
        <v>299</v>
      </c>
      <c r="G167" s="12" t="n">
        <v>0.75</v>
      </c>
      <c r="H167" s="13" t="n">
        <v>3.9</v>
      </c>
      <c r="I167" s="11" t="n">
        <v>1193</v>
      </c>
      <c r="J167" s="11" t="n">
        <f aca="false">E167-F167</f>
        <v>900</v>
      </c>
      <c r="K167" s="10" t="str">
        <f aca="false">IF(G167&lt;0.2,"0-19%",IF(G167&lt;0.4,"20-39%",IF(G167&lt;0.6,"40-59%",IF(G167&lt;0.8,"60-79%","80%+"))))</f>
        <v>60-79%</v>
      </c>
      <c r="L167" s="10" t="str">
        <f aca="false">IF(H167="","No rating",IF(H167&lt;3.5,"Below 3.5",IF(H167&lt;4,"3.5-3.9",IF(H167&lt;4.5,"4.0-4.4","4.5+"))))</f>
        <v>3.5-3.9</v>
      </c>
    </row>
    <row r="168" customFormat="false" ht="15" hidden="false" customHeight="false" outlineLevel="0" collapsed="false">
      <c r="A168" s="10" t="s">
        <v>357</v>
      </c>
      <c r="B168" s="10" t="s">
        <v>358</v>
      </c>
      <c r="C168" s="10" t="s">
        <v>21</v>
      </c>
      <c r="D168" s="10" t="s">
        <v>22</v>
      </c>
      <c r="E168" s="11" t="n">
        <v>1299</v>
      </c>
      <c r="F168" s="11" t="n">
        <v>399</v>
      </c>
      <c r="G168" s="12" t="n">
        <v>0.69</v>
      </c>
      <c r="H168" s="13" t="n">
        <v>4.2</v>
      </c>
      <c r="I168" s="11" t="n">
        <v>13120</v>
      </c>
      <c r="J168" s="11" t="n">
        <f aca="false">E168-F168</f>
        <v>900</v>
      </c>
      <c r="K168" s="10" t="str">
        <f aca="false">IF(G168&lt;0.2,"0-19%",IF(G168&lt;0.4,"20-39%",IF(G168&lt;0.6,"40-59%",IF(G168&lt;0.8,"60-79%","80%+"))))</f>
        <v>60-79%</v>
      </c>
      <c r="L168" s="10" t="str">
        <f aca="false">IF(H168="","No rating",IF(H168&lt;3.5,"Below 3.5",IF(H168&lt;4,"3.5-3.9",IF(H168&lt;4.5,"4.0-4.4","4.5+"))))</f>
        <v>4.0-4.4</v>
      </c>
    </row>
    <row r="169" customFormat="false" ht="15" hidden="false" customHeight="false" outlineLevel="0" collapsed="false">
      <c r="A169" s="10" t="s">
        <v>359</v>
      </c>
      <c r="B169" s="10" t="s">
        <v>360</v>
      </c>
      <c r="C169" s="10" t="s">
        <v>48</v>
      </c>
      <c r="D169" s="10" t="s">
        <v>49</v>
      </c>
      <c r="E169" s="11" t="n">
        <v>1999</v>
      </c>
      <c r="F169" s="11" t="n">
        <v>339</v>
      </c>
      <c r="G169" s="12" t="n">
        <v>0.83</v>
      </c>
      <c r="H169" s="13" t="n">
        <v>4</v>
      </c>
      <c r="I169" s="11" t="n">
        <v>343</v>
      </c>
      <c r="J169" s="11" t="n">
        <f aca="false">E169-F169</f>
        <v>1660</v>
      </c>
      <c r="K169" s="10" t="str">
        <f aca="false">IF(G169&lt;0.2,"0-19%",IF(G169&lt;0.4,"20-39%",IF(G169&lt;0.6,"40-59%",IF(G169&lt;0.8,"60-79%","80%+"))))</f>
        <v>80%+</v>
      </c>
      <c r="L169" s="10" t="str">
        <f aca="false">IF(H169="","No rating",IF(H169&lt;3.5,"Below 3.5",IF(H169&lt;4,"3.5-3.9",IF(H169&lt;4.5,"4.0-4.4","4.5+"))))</f>
        <v>4.0-4.4</v>
      </c>
    </row>
    <row r="170" customFormat="false" ht="15" hidden="false" customHeight="false" outlineLevel="0" collapsed="false">
      <c r="A170" s="10" t="s">
        <v>361</v>
      </c>
      <c r="B170" s="10" t="s">
        <v>362</v>
      </c>
      <c r="C170" s="10" t="s">
        <v>48</v>
      </c>
      <c r="D170" s="10" t="s">
        <v>49</v>
      </c>
      <c r="E170" s="11" t="n">
        <v>22990</v>
      </c>
      <c r="F170" s="11" t="n">
        <v>12499</v>
      </c>
      <c r="G170" s="12" t="n">
        <v>0.46</v>
      </c>
      <c r="H170" s="13" t="n">
        <v>4.3</v>
      </c>
      <c r="I170" s="11" t="n">
        <v>1611</v>
      </c>
      <c r="J170" s="11" t="n">
        <f aca="false">E170-F170</f>
        <v>10491</v>
      </c>
      <c r="K170" s="10" t="str">
        <f aca="false">IF(G170&lt;0.2,"0-19%",IF(G170&lt;0.4,"20-39%",IF(G170&lt;0.6,"40-59%",IF(G170&lt;0.8,"60-79%","80%+"))))</f>
        <v>40-59%</v>
      </c>
      <c r="L170" s="10" t="str">
        <f aca="false">IF(H170="","No rating",IF(H170&lt;3.5,"Below 3.5",IF(H170&lt;4,"3.5-3.9",IF(H170&lt;4.5,"4.0-4.4","4.5+"))))</f>
        <v>4.0-4.4</v>
      </c>
    </row>
    <row r="171" customFormat="false" ht="15" hidden="false" customHeight="false" outlineLevel="0" collapsed="false">
      <c r="A171" s="10" t="s">
        <v>363</v>
      </c>
      <c r="B171" s="10" t="s">
        <v>364</v>
      </c>
      <c r="C171" s="10" t="s">
        <v>21</v>
      </c>
      <c r="D171" s="10" t="s">
        <v>22</v>
      </c>
      <c r="E171" s="11" t="n">
        <v>399</v>
      </c>
      <c r="F171" s="11" t="n">
        <v>249</v>
      </c>
      <c r="G171" s="12" t="n">
        <v>0.38</v>
      </c>
      <c r="H171" s="13" t="n">
        <v>4</v>
      </c>
      <c r="I171" s="11" t="n">
        <v>6558</v>
      </c>
      <c r="J171" s="11" t="n">
        <f aca="false">E171-F171</f>
        <v>150</v>
      </c>
      <c r="K171" s="10" t="str">
        <f aca="false">IF(G171&lt;0.2,"0-19%",IF(G171&lt;0.4,"20-39%",IF(G171&lt;0.6,"40-59%",IF(G171&lt;0.8,"60-79%","80%+"))))</f>
        <v>20-39%</v>
      </c>
      <c r="L171" s="10" t="str">
        <f aca="false">IF(H171="","No rating",IF(H171&lt;3.5,"Below 3.5",IF(H171&lt;4,"3.5-3.9",IF(H171&lt;4.5,"4.0-4.4","4.5+"))))</f>
        <v>4.0-4.4</v>
      </c>
    </row>
    <row r="172" customFormat="false" ht="15" hidden="false" customHeight="false" outlineLevel="0" collapsed="false">
      <c r="A172" s="10" t="s">
        <v>365</v>
      </c>
      <c r="B172" s="10" t="s">
        <v>366</v>
      </c>
      <c r="C172" s="10" t="s">
        <v>21</v>
      </c>
      <c r="D172" s="10" t="s">
        <v>39</v>
      </c>
      <c r="E172" s="11" t="n">
        <v>2499</v>
      </c>
      <c r="F172" s="11" t="n">
        <v>1399</v>
      </c>
      <c r="G172" s="12" t="n">
        <v>0.44</v>
      </c>
      <c r="H172" s="13" t="n">
        <v>4.4</v>
      </c>
      <c r="I172" s="11" t="n">
        <v>23169</v>
      </c>
      <c r="J172" s="11" t="n">
        <f aca="false">E172-F172</f>
        <v>1100</v>
      </c>
      <c r="K172" s="10" t="str">
        <f aca="false">IF(G172&lt;0.2,"0-19%",IF(G172&lt;0.4,"20-39%",IF(G172&lt;0.6,"40-59%",IF(G172&lt;0.8,"60-79%","80%+"))))</f>
        <v>40-59%</v>
      </c>
      <c r="L172" s="10" t="str">
        <f aca="false">IF(H172="","No rating",IF(H172&lt;3.5,"Below 3.5",IF(H172&lt;4,"3.5-3.9",IF(H172&lt;4.5,"4.0-4.4","4.5+"))))</f>
        <v>4.0-4.4</v>
      </c>
    </row>
    <row r="173" customFormat="false" ht="15" hidden="false" customHeight="false" outlineLevel="0" collapsed="false">
      <c r="A173" s="10" t="s">
        <v>367</v>
      </c>
      <c r="B173" s="10" t="s">
        <v>368</v>
      </c>
      <c r="C173" s="10" t="s">
        <v>48</v>
      </c>
      <c r="D173" s="10" t="s">
        <v>49</v>
      </c>
      <c r="E173" s="11" t="n">
        <v>47990</v>
      </c>
      <c r="F173" s="11" t="n">
        <v>32999</v>
      </c>
      <c r="G173" s="12" t="n">
        <v>0.31</v>
      </c>
      <c r="H173" s="13" t="n">
        <v>4.3</v>
      </c>
      <c r="I173" s="11" t="n">
        <v>4703</v>
      </c>
      <c r="J173" s="11" t="n">
        <f aca="false">E173-F173</f>
        <v>14991</v>
      </c>
      <c r="K173" s="10" t="str">
        <f aca="false">IF(G173&lt;0.2,"0-19%",IF(G173&lt;0.4,"20-39%",IF(G173&lt;0.6,"40-59%",IF(G173&lt;0.8,"60-79%","80%+"))))</f>
        <v>20-39%</v>
      </c>
      <c r="L173" s="10" t="str">
        <f aca="false">IF(H173="","No rating",IF(H173&lt;3.5,"Below 3.5",IF(H173&lt;4,"3.5-3.9",IF(H173&lt;4.5,"4.0-4.4","4.5+"))))</f>
        <v>4.0-4.4</v>
      </c>
    </row>
    <row r="174" customFormat="false" ht="15" hidden="false" customHeight="false" outlineLevel="0" collapsed="false">
      <c r="A174" s="10" t="s">
        <v>369</v>
      </c>
      <c r="B174" s="10" t="s">
        <v>370</v>
      </c>
      <c r="C174" s="10" t="s">
        <v>21</v>
      </c>
      <c r="D174" s="10" t="s">
        <v>22</v>
      </c>
      <c r="E174" s="11" t="n">
        <v>399</v>
      </c>
      <c r="F174" s="11" t="n">
        <v>149</v>
      </c>
      <c r="G174" s="12" t="n">
        <v>0.63</v>
      </c>
      <c r="H174" s="13" t="n">
        <v>4</v>
      </c>
      <c r="I174" s="11" t="n">
        <v>1423</v>
      </c>
      <c r="J174" s="11" t="n">
        <f aca="false">E174-F174</f>
        <v>250</v>
      </c>
      <c r="K174" s="10" t="str">
        <f aca="false">IF(G174&lt;0.2,"0-19%",IF(G174&lt;0.4,"20-39%",IF(G174&lt;0.6,"40-59%",IF(G174&lt;0.8,"60-79%","80%+"))))</f>
        <v>60-79%</v>
      </c>
      <c r="L174" s="10" t="str">
        <f aca="false">IF(H174="","No rating",IF(H174&lt;3.5,"Below 3.5",IF(H174&lt;4,"3.5-3.9",IF(H174&lt;4.5,"4.0-4.4","4.5+"))))</f>
        <v>4.0-4.4</v>
      </c>
    </row>
    <row r="175" customFormat="false" ht="15" hidden="false" customHeight="false" outlineLevel="0" collapsed="false">
      <c r="A175" s="10" t="s">
        <v>371</v>
      </c>
      <c r="B175" s="10" t="s">
        <v>372</v>
      </c>
      <c r="C175" s="10" t="s">
        <v>21</v>
      </c>
      <c r="D175" s="10" t="s">
        <v>22</v>
      </c>
      <c r="E175" s="11" t="n">
        <v>999</v>
      </c>
      <c r="F175" s="11" t="n">
        <v>325</v>
      </c>
      <c r="G175" s="12" t="n">
        <v>0.67</v>
      </c>
      <c r="H175" s="13" t="n">
        <v>4.3</v>
      </c>
      <c r="I175" s="11" t="n">
        <v>2651</v>
      </c>
      <c r="J175" s="11" t="n">
        <f aca="false">E175-F175</f>
        <v>674</v>
      </c>
      <c r="K175" s="10" t="str">
        <f aca="false">IF(G175&lt;0.2,"0-19%",IF(G175&lt;0.4,"20-39%",IF(G175&lt;0.6,"40-59%",IF(G175&lt;0.8,"60-79%","80%+"))))</f>
        <v>60-79%</v>
      </c>
      <c r="L175" s="10" t="str">
        <f aca="false">IF(H175="","No rating",IF(H175&lt;3.5,"Below 3.5",IF(H175&lt;4,"3.5-3.9",IF(H175&lt;4.5,"4.0-4.4","4.5+"))))</f>
        <v>4.0-4.4</v>
      </c>
    </row>
    <row r="176" customFormat="false" ht="15" hidden="false" customHeight="false" outlineLevel="0" collapsed="false">
      <c r="A176" s="10" t="s">
        <v>373</v>
      </c>
      <c r="B176" s="10" t="s">
        <v>374</v>
      </c>
      <c r="C176" s="10" t="s">
        <v>21</v>
      </c>
      <c r="D176" s="10" t="s">
        <v>22</v>
      </c>
      <c r="E176" s="11" t="n">
        <v>1999</v>
      </c>
      <c r="F176" s="11" t="n">
        <v>399</v>
      </c>
      <c r="G176" s="12" t="n">
        <v>0.8</v>
      </c>
      <c r="H176" s="13" t="n">
        <v>5</v>
      </c>
      <c r="I176" s="11" t="n">
        <v>5</v>
      </c>
      <c r="J176" s="11" t="n">
        <f aca="false">E176-F176</f>
        <v>1600</v>
      </c>
      <c r="K176" s="10" t="str">
        <f aca="false">IF(G176&lt;0.2,"0-19%",IF(G176&lt;0.4,"20-39%",IF(G176&lt;0.6,"40-59%",IF(G176&lt;0.8,"60-79%","80%+"))))</f>
        <v>80%+</v>
      </c>
      <c r="L176" s="10" t="str">
        <f aca="false">IF(H176="","No rating",IF(H176&lt;3.5,"Below 3.5",IF(H176&lt;4,"3.5-3.9",IF(H176&lt;4.5,"4.0-4.4","4.5+"))))</f>
        <v>4.5+</v>
      </c>
    </row>
    <row r="177" customFormat="false" ht="15" hidden="false" customHeight="false" outlineLevel="0" collapsed="false">
      <c r="A177" s="10" t="s">
        <v>375</v>
      </c>
      <c r="B177" s="10" t="s">
        <v>376</v>
      </c>
      <c r="C177" s="10" t="s">
        <v>21</v>
      </c>
      <c r="D177" s="10" t="s">
        <v>39</v>
      </c>
      <c r="E177" s="11" t="n">
        <v>499</v>
      </c>
      <c r="F177" s="11" t="n">
        <v>199</v>
      </c>
      <c r="G177" s="12" t="n">
        <v>0.6</v>
      </c>
      <c r="H177" s="13" t="n">
        <v>3.7</v>
      </c>
      <c r="I177" s="11" t="n">
        <v>612</v>
      </c>
      <c r="J177" s="11" t="n">
        <f aca="false">E177-F177</f>
        <v>300</v>
      </c>
      <c r="K177" s="10" t="str">
        <f aca="false">IF(G177&lt;0.2,"0-19%",IF(G177&lt;0.4,"20-39%",IF(G177&lt;0.6,"40-59%",IF(G177&lt;0.8,"60-79%","80%+"))))</f>
        <v>60-79%</v>
      </c>
      <c r="L177" s="10" t="str">
        <f aca="false">IF(H177="","No rating",IF(H177&lt;3.5,"Below 3.5",IF(H177&lt;4,"3.5-3.9",IF(H177&lt;4.5,"4.0-4.4","4.5+"))))</f>
        <v>3.5-3.9</v>
      </c>
    </row>
    <row r="178" customFormat="false" ht="15" hidden="false" customHeight="false" outlineLevel="0" collapsed="false">
      <c r="A178" s="10" t="s">
        <v>377</v>
      </c>
      <c r="B178" s="10" t="s">
        <v>378</v>
      </c>
      <c r="C178" s="10" t="s">
        <v>21</v>
      </c>
      <c r="D178" s="10" t="s">
        <v>22</v>
      </c>
      <c r="E178" s="11" t="n">
        <v>299</v>
      </c>
      <c r="F178" s="11" t="n">
        <v>88</v>
      </c>
      <c r="G178" s="12" t="n">
        <v>0.71</v>
      </c>
      <c r="H178" s="13" t="n">
        <v>4</v>
      </c>
      <c r="I178" s="11" t="n">
        <v>9378</v>
      </c>
      <c r="J178" s="11" t="n">
        <f aca="false">E178-F178</f>
        <v>211</v>
      </c>
      <c r="K178" s="10" t="str">
        <f aca="false">IF(G178&lt;0.2,"0-19%",IF(G178&lt;0.4,"20-39%",IF(G178&lt;0.6,"40-59%",IF(G178&lt;0.8,"60-79%","80%+"))))</f>
        <v>60-79%</v>
      </c>
      <c r="L178" s="10" t="str">
        <f aca="false">IF(H178="","No rating",IF(H178&lt;3.5,"Below 3.5",IF(H178&lt;4,"3.5-3.9",IF(H178&lt;4.5,"4.0-4.4","4.5+"))))</f>
        <v>4.0-4.4</v>
      </c>
    </row>
    <row r="179" customFormat="false" ht="15" hidden="false" customHeight="false" outlineLevel="0" collapsed="false">
      <c r="A179" s="10" t="s">
        <v>379</v>
      </c>
      <c r="B179" s="10" t="s">
        <v>380</v>
      </c>
      <c r="C179" s="10" t="s">
        <v>21</v>
      </c>
      <c r="D179" s="10" t="s">
        <v>22</v>
      </c>
      <c r="E179" s="11" t="n">
        <v>1099</v>
      </c>
      <c r="F179" s="11" t="n">
        <v>399</v>
      </c>
      <c r="G179" s="12" t="n">
        <v>0.64</v>
      </c>
      <c r="H179" s="13" t="n">
        <v>4.1</v>
      </c>
      <c r="I179" s="11" t="n">
        <v>2685</v>
      </c>
      <c r="J179" s="11" t="n">
        <f aca="false">E179-F179</f>
        <v>700</v>
      </c>
      <c r="K179" s="10" t="str">
        <f aca="false">IF(G179&lt;0.2,"0-19%",IF(G179&lt;0.4,"20-39%",IF(G179&lt;0.6,"40-59%",IF(G179&lt;0.8,"60-79%","80%+"))))</f>
        <v>60-79%</v>
      </c>
      <c r="L179" s="10" t="str">
        <f aca="false">IF(H179="","No rating",IF(H179&lt;3.5,"Below 3.5",IF(H179&lt;4,"3.5-3.9",IF(H179&lt;4.5,"4.0-4.4","4.5+"))))</f>
        <v>4.0-4.4</v>
      </c>
    </row>
    <row r="180" customFormat="false" ht="15" hidden="false" customHeight="false" outlineLevel="0" collapsed="false">
      <c r="A180" s="10" t="s">
        <v>381</v>
      </c>
      <c r="B180" s="10" t="s">
        <v>382</v>
      </c>
      <c r="C180" s="10" t="s">
        <v>21</v>
      </c>
      <c r="D180" s="10" t="s">
        <v>22</v>
      </c>
      <c r="E180" s="11" t="n">
        <v>199</v>
      </c>
      <c r="F180" s="11" t="n">
        <v>57.89</v>
      </c>
      <c r="G180" s="12" t="n">
        <v>0.71</v>
      </c>
      <c r="H180" s="13" t="n">
        <v>4</v>
      </c>
      <c r="I180" s="11" t="n">
        <v>9378</v>
      </c>
      <c r="J180" s="11" t="n">
        <f aca="false">E180-F180</f>
        <v>141.11</v>
      </c>
      <c r="K180" s="10" t="str">
        <f aca="false">IF(G180&lt;0.2,"0-19%",IF(G180&lt;0.4,"20-39%",IF(G180&lt;0.6,"40-59%",IF(G180&lt;0.8,"60-79%","80%+"))))</f>
        <v>60-79%</v>
      </c>
      <c r="L180" s="10" t="str">
        <f aca="false">IF(H180="","No rating",IF(H180&lt;3.5,"Below 3.5",IF(H180&lt;4,"3.5-3.9",IF(H180&lt;4.5,"4.0-4.4","4.5+"))))</f>
        <v>4.0-4.4</v>
      </c>
    </row>
    <row r="181" customFormat="false" ht="15" hidden="false" customHeight="false" outlineLevel="0" collapsed="false">
      <c r="A181" s="10" t="s">
        <v>383</v>
      </c>
      <c r="B181" s="10" t="s">
        <v>384</v>
      </c>
      <c r="C181" s="10" t="s">
        <v>48</v>
      </c>
      <c r="D181" s="10" t="s">
        <v>49</v>
      </c>
      <c r="E181" s="11" t="n">
        <v>1999</v>
      </c>
      <c r="F181" s="11" t="n">
        <v>799</v>
      </c>
      <c r="G181" s="12" t="n">
        <v>0.6</v>
      </c>
      <c r="H181" s="13" t="n">
        <v>3.3</v>
      </c>
      <c r="I181" s="11" t="n">
        <v>576</v>
      </c>
      <c r="J181" s="11" t="n">
        <f aca="false">E181-F181</f>
        <v>1200</v>
      </c>
      <c r="K181" s="10" t="str">
        <f aca="false">IF(G181&lt;0.2,"0-19%",IF(G181&lt;0.4,"20-39%",IF(G181&lt;0.6,"40-59%",IF(G181&lt;0.8,"60-79%","80%+"))))</f>
        <v>60-79%</v>
      </c>
      <c r="L181" s="10" t="str">
        <f aca="false">IF(H181="","No rating",IF(H181&lt;3.5,"Below 3.5",IF(H181&lt;4,"3.5-3.9",IF(H181&lt;4.5,"4.0-4.4","4.5+"))))</f>
        <v>Below 3.5</v>
      </c>
    </row>
    <row r="182" customFormat="false" ht="15" hidden="false" customHeight="false" outlineLevel="0" collapsed="false">
      <c r="A182" s="10" t="s">
        <v>385</v>
      </c>
      <c r="B182" s="10" t="s">
        <v>386</v>
      </c>
      <c r="C182" s="10" t="s">
        <v>48</v>
      </c>
      <c r="D182" s="10" t="s">
        <v>49</v>
      </c>
      <c r="E182" s="11" t="n">
        <v>499</v>
      </c>
      <c r="F182" s="11" t="n">
        <v>205</v>
      </c>
      <c r="G182" s="12" t="n">
        <v>0.59</v>
      </c>
      <c r="H182" s="13" t="n">
        <v>3.8</v>
      </c>
      <c r="I182" s="11" t="n">
        <v>313</v>
      </c>
      <c r="J182" s="11" t="n">
        <f aca="false">E182-F182</f>
        <v>294</v>
      </c>
      <c r="K182" s="10" t="str">
        <f aca="false">IF(G182&lt;0.2,"0-19%",IF(G182&lt;0.4,"20-39%",IF(G182&lt;0.6,"40-59%",IF(G182&lt;0.8,"60-79%","80%+"))))</f>
        <v>40-59%</v>
      </c>
      <c r="L182" s="10" t="str">
        <f aca="false">IF(H182="","No rating",IF(H182&lt;3.5,"Below 3.5",IF(H182&lt;4,"3.5-3.9",IF(H182&lt;4.5,"4.0-4.4","4.5+"))))</f>
        <v>3.5-3.9</v>
      </c>
    </row>
    <row r="183" customFormat="false" ht="15" hidden="false" customHeight="false" outlineLevel="0" collapsed="false">
      <c r="A183" s="10" t="s">
        <v>387</v>
      </c>
      <c r="B183" s="10" t="s">
        <v>388</v>
      </c>
      <c r="C183" s="10" t="s">
        <v>21</v>
      </c>
      <c r="D183" s="10" t="s">
        <v>22</v>
      </c>
      <c r="E183" s="11" t="n">
        <v>699</v>
      </c>
      <c r="F183" s="11" t="n">
        <v>299</v>
      </c>
      <c r="G183" s="12" t="n">
        <v>0.57</v>
      </c>
      <c r="H183" s="13" t="n">
        <v>4.1</v>
      </c>
      <c r="I183" s="11" t="n">
        <v>2957</v>
      </c>
      <c r="J183" s="11" t="n">
        <f aca="false">E183-F183</f>
        <v>400</v>
      </c>
      <c r="K183" s="10" t="str">
        <f aca="false">IF(G183&lt;0.2,"0-19%",IF(G183&lt;0.4,"20-39%",IF(G183&lt;0.6,"40-59%",IF(G183&lt;0.8,"60-79%","80%+"))))</f>
        <v>40-59%</v>
      </c>
      <c r="L183" s="10" t="str">
        <f aca="false">IF(H183="","No rating",IF(H183&lt;3.5,"Below 3.5",IF(H183&lt;4,"3.5-3.9",IF(H183&lt;4.5,"4.0-4.4","4.5+"))))</f>
        <v>4.0-4.4</v>
      </c>
    </row>
    <row r="184" customFormat="false" ht="15" hidden="false" customHeight="false" outlineLevel="0" collapsed="false">
      <c r="A184" s="10" t="s">
        <v>389</v>
      </c>
      <c r="B184" s="10" t="s">
        <v>390</v>
      </c>
      <c r="C184" s="10" t="s">
        <v>21</v>
      </c>
      <c r="D184" s="10" t="s">
        <v>22</v>
      </c>
      <c r="E184" s="11" t="n">
        <v>999</v>
      </c>
      <c r="F184" s="11" t="n">
        <v>849</v>
      </c>
      <c r="G184" s="12" t="n">
        <v>0.15</v>
      </c>
      <c r="H184" s="13" t="n">
        <v>4.1</v>
      </c>
      <c r="I184" s="11" t="n">
        <v>6736</v>
      </c>
      <c r="J184" s="11" t="n">
        <f aca="false">E184-F184</f>
        <v>150</v>
      </c>
      <c r="K184" s="10" t="str">
        <f aca="false">IF(G184&lt;0.2,"0-19%",IF(G184&lt;0.4,"20-39%",IF(G184&lt;0.6,"40-59%",IF(G184&lt;0.8,"60-79%","80%+"))))</f>
        <v>0-19%</v>
      </c>
      <c r="L184" s="10" t="str">
        <f aca="false">IF(H184="","No rating",IF(H184&lt;3.5,"Below 3.5",IF(H184&lt;4,"3.5-3.9",IF(H184&lt;4.5,"4.0-4.4","4.5+"))))</f>
        <v>4.0-4.4</v>
      </c>
    </row>
    <row r="185" customFormat="false" ht="15" hidden="false" customHeight="false" outlineLevel="0" collapsed="false">
      <c r="A185" s="10" t="s">
        <v>391</v>
      </c>
      <c r="B185" s="10" t="s">
        <v>392</v>
      </c>
      <c r="C185" s="10" t="s">
        <v>21</v>
      </c>
      <c r="D185" s="10" t="s">
        <v>22</v>
      </c>
      <c r="E185" s="11" t="n">
        <v>1999</v>
      </c>
      <c r="F185" s="11" t="n">
        <v>949</v>
      </c>
      <c r="G185" s="12" t="n">
        <v>0.53</v>
      </c>
      <c r="H185" s="13" t="n">
        <v>4.4</v>
      </c>
      <c r="I185" s="11" t="n">
        <v>13552</v>
      </c>
      <c r="J185" s="11" t="n">
        <f aca="false">E185-F185</f>
        <v>1050</v>
      </c>
      <c r="K185" s="10" t="str">
        <f aca="false">IF(G185&lt;0.2,"0-19%",IF(G185&lt;0.4,"20-39%",IF(G185&lt;0.6,"40-59%",IF(G185&lt;0.8,"60-79%","80%+"))))</f>
        <v>40-59%</v>
      </c>
      <c r="L185" s="10" t="str">
        <f aca="false">IF(H185="","No rating",IF(H185&lt;3.5,"Below 3.5",IF(H185&lt;4,"3.5-3.9",IF(H185&lt;4.5,"4.0-4.4","4.5+"))))</f>
        <v>4.0-4.4</v>
      </c>
    </row>
    <row r="186" customFormat="false" ht="15" hidden="false" customHeight="false" outlineLevel="0" collapsed="false">
      <c r="A186" s="10" t="s">
        <v>393</v>
      </c>
      <c r="B186" s="10" t="s">
        <v>394</v>
      </c>
      <c r="C186" s="10" t="s">
        <v>21</v>
      </c>
      <c r="D186" s="10" t="s">
        <v>22</v>
      </c>
      <c r="E186" s="11" t="n">
        <v>1200</v>
      </c>
      <c r="F186" s="11" t="n">
        <v>499</v>
      </c>
      <c r="G186" s="12" t="n">
        <v>0.58</v>
      </c>
      <c r="H186" s="13" t="n">
        <v>4.3</v>
      </c>
      <c r="I186" s="11" t="n">
        <v>5451</v>
      </c>
      <c r="J186" s="11" t="n">
        <f aca="false">E186-F186</f>
        <v>701</v>
      </c>
      <c r="K186" s="10" t="str">
        <f aca="false">IF(G186&lt;0.2,"0-19%",IF(G186&lt;0.4,"20-39%",IF(G186&lt;0.6,"40-59%",IF(G186&lt;0.8,"60-79%","80%+"))))</f>
        <v>40-59%</v>
      </c>
      <c r="L186" s="10" t="str">
        <f aca="false">IF(H186="","No rating",IF(H186&lt;3.5,"Below 3.5",IF(H186&lt;4,"3.5-3.9",IF(H186&lt;4.5,"4.0-4.4","4.5+"))))</f>
        <v>4.0-4.4</v>
      </c>
    </row>
    <row r="187" customFormat="false" ht="15" hidden="false" customHeight="false" outlineLevel="0" collapsed="false">
      <c r="A187" s="10" t="s">
        <v>395</v>
      </c>
      <c r="B187" s="10" t="s">
        <v>396</v>
      </c>
      <c r="C187" s="10" t="s">
        <v>21</v>
      </c>
      <c r="D187" s="10" t="s">
        <v>22</v>
      </c>
      <c r="E187" s="11" t="n">
        <v>485</v>
      </c>
      <c r="F187" s="11" t="n">
        <v>299</v>
      </c>
      <c r="G187" s="12" t="n">
        <v>0.38</v>
      </c>
      <c r="H187" s="13" t="n">
        <v>4.3</v>
      </c>
      <c r="I187" s="11" t="n">
        <v>10911</v>
      </c>
      <c r="J187" s="11" t="n">
        <f aca="false">E187-F187</f>
        <v>186</v>
      </c>
      <c r="K187" s="10" t="str">
        <f aca="false">IF(G187&lt;0.2,"0-19%",IF(G187&lt;0.4,"20-39%",IF(G187&lt;0.6,"40-59%",IF(G187&lt;0.8,"60-79%","80%+"))))</f>
        <v>20-39%</v>
      </c>
      <c r="L187" s="10" t="str">
        <f aca="false">IF(H187="","No rating",IF(H187&lt;3.5,"Below 3.5",IF(H187&lt;4,"3.5-3.9",IF(H187&lt;4.5,"4.0-4.4","4.5+"))))</f>
        <v>4.0-4.4</v>
      </c>
    </row>
    <row r="188" customFormat="false" ht="15" hidden="false" customHeight="false" outlineLevel="0" collapsed="false">
      <c r="A188" s="10" t="s">
        <v>397</v>
      </c>
      <c r="B188" s="10" t="s">
        <v>398</v>
      </c>
      <c r="C188" s="10" t="s">
        <v>21</v>
      </c>
      <c r="D188" s="10" t="s">
        <v>22</v>
      </c>
      <c r="E188" s="11" t="n">
        <v>1999</v>
      </c>
      <c r="F188" s="11" t="n">
        <v>949</v>
      </c>
      <c r="G188" s="12" t="n">
        <v>0.53</v>
      </c>
      <c r="H188" s="13" t="n">
        <v>4.4</v>
      </c>
      <c r="I188" s="11" t="n">
        <v>13552</v>
      </c>
      <c r="J188" s="11" t="n">
        <f aca="false">E188-F188</f>
        <v>1050</v>
      </c>
      <c r="K188" s="10" t="str">
        <f aca="false">IF(G188&lt;0.2,"0-19%",IF(G188&lt;0.4,"20-39%",IF(G188&lt;0.6,"40-59%",IF(G188&lt;0.8,"60-79%","80%+"))))</f>
        <v>40-59%</v>
      </c>
      <c r="L188" s="10" t="str">
        <f aca="false">IF(H188="","No rating",IF(H188&lt;3.5,"Below 3.5",IF(H188&lt;4,"3.5-3.9",IF(H188&lt;4.5,"4.0-4.4","4.5+"))))</f>
        <v>4.0-4.4</v>
      </c>
    </row>
    <row r="189" customFormat="false" ht="15" hidden="false" customHeight="false" outlineLevel="0" collapsed="false">
      <c r="A189" s="10" t="s">
        <v>399</v>
      </c>
      <c r="B189" s="10" t="s">
        <v>400</v>
      </c>
      <c r="C189" s="10" t="s">
        <v>21</v>
      </c>
      <c r="D189" s="10" t="s">
        <v>22</v>
      </c>
      <c r="E189" s="11" t="n">
        <v>1099</v>
      </c>
      <c r="F189" s="11" t="n">
        <v>379</v>
      </c>
      <c r="G189" s="12" t="n">
        <v>0.66</v>
      </c>
      <c r="H189" s="13" t="n">
        <v>4.3</v>
      </c>
      <c r="I189" s="11" t="n">
        <v>2806</v>
      </c>
      <c r="J189" s="11" t="n">
        <f aca="false">E189-F189</f>
        <v>720</v>
      </c>
      <c r="K189" s="10" t="str">
        <f aca="false">IF(G189&lt;0.2,"0-19%",IF(G189&lt;0.4,"20-39%",IF(G189&lt;0.6,"40-59%",IF(G189&lt;0.8,"60-79%","80%+"))))</f>
        <v>60-79%</v>
      </c>
      <c r="L189" s="10" t="str">
        <f aca="false">IF(H189="","No rating",IF(H189&lt;3.5,"Below 3.5",IF(H189&lt;4,"3.5-3.9",IF(H189&lt;4.5,"4.0-4.4","4.5+"))))</f>
        <v>4.0-4.4</v>
      </c>
    </row>
    <row r="190" customFormat="false" ht="15" hidden="false" customHeight="false" outlineLevel="0" collapsed="false">
      <c r="A190" s="10" t="s">
        <v>401</v>
      </c>
      <c r="B190" s="10" t="s">
        <v>402</v>
      </c>
      <c r="C190" s="10" t="s">
        <v>48</v>
      </c>
      <c r="D190" s="10" t="s">
        <v>49</v>
      </c>
      <c r="E190" s="11" t="n">
        <v>18990</v>
      </c>
      <c r="F190" s="11" t="n">
        <v>8990</v>
      </c>
      <c r="G190" s="12" t="n">
        <v>0.53</v>
      </c>
      <c r="H190" s="13" t="n">
        <v>3.9</v>
      </c>
      <c r="I190" s="11" t="n">
        <v>350</v>
      </c>
      <c r="J190" s="11" t="n">
        <f aca="false">E190-F190</f>
        <v>10000</v>
      </c>
      <c r="K190" s="10" t="str">
        <f aca="false">IF(G190&lt;0.2,"0-19%",IF(G190&lt;0.4,"20-39%",IF(G190&lt;0.6,"40-59%",IF(G190&lt;0.8,"60-79%","80%+"))))</f>
        <v>40-59%</v>
      </c>
      <c r="L190" s="10" t="str">
        <f aca="false">IF(H190="","No rating",IF(H190&lt;3.5,"Below 3.5",IF(H190&lt;4,"3.5-3.9",IF(H190&lt;4.5,"4.0-4.4","4.5+"))))</f>
        <v>3.5-3.9</v>
      </c>
    </row>
    <row r="191" customFormat="false" ht="15" hidden="false" customHeight="false" outlineLevel="0" collapsed="false">
      <c r="A191" s="10" t="s">
        <v>403</v>
      </c>
      <c r="B191" s="10" t="s">
        <v>404</v>
      </c>
      <c r="C191" s="10" t="s">
        <v>48</v>
      </c>
      <c r="D191" s="10" t="s">
        <v>49</v>
      </c>
      <c r="E191" s="11" t="n">
        <v>1999</v>
      </c>
      <c r="F191" s="11" t="n">
        <v>486</v>
      </c>
      <c r="G191" s="12" t="n">
        <v>0.76</v>
      </c>
      <c r="H191" s="13" t="n">
        <v>4.2</v>
      </c>
      <c r="I191" s="11" t="n">
        <v>30023</v>
      </c>
      <c r="J191" s="11" t="n">
        <f aca="false">E191-F191</f>
        <v>1513</v>
      </c>
      <c r="K191" s="10" t="str">
        <f aca="false">IF(G191&lt;0.2,"0-19%",IF(G191&lt;0.4,"20-39%",IF(G191&lt;0.6,"40-59%",IF(G191&lt;0.8,"60-79%","80%+"))))</f>
        <v>60-79%</v>
      </c>
      <c r="L191" s="10" t="str">
        <f aca="false">IF(H191="","No rating",IF(H191&lt;3.5,"Below 3.5",IF(H191&lt;4,"3.5-3.9",IF(H191&lt;4.5,"4.0-4.4","4.5+"))))</f>
        <v>4.0-4.4</v>
      </c>
    </row>
    <row r="192" customFormat="false" ht="15" hidden="false" customHeight="false" outlineLevel="0" collapsed="false">
      <c r="A192" s="10" t="s">
        <v>405</v>
      </c>
      <c r="B192" s="10" t="s">
        <v>406</v>
      </c>
      <c r="C192" s="10" t="s">
        <v>48</v>
      </c>
      <c r="D192" s="10" t="s">
        <v>49</v>
      </c>
      <c r="E192" s="11" t="n">
        <v>11000</v>
      </c>
      <c r="F192" s="11" t="n">
        <v>5699</v>
      </c>
      <c r="G192" s="12" t="n">
        <v>0.48</v>
      </c>
      <c r="H192" s="13" t="n">
        <v>4.2</v>
      </c>
      <c r="I192" s="11" t="n">
        <v>4003</v>
      </c>
      <c r="J192" s="11" t="n">
        <f aca="false">E192-F192</f>
        <v>5301</v>
      </c>
      <c r="K192" s="10" t="str">
        <f aca="false">IF(G192&lt;0.2,"0-19%",IF(G192&lt;0.4,"20-39%",IF(G192&lt;0.6,"40-59%",IF(G192&lt;0.8,"60-79%","80%+"))))</f>
        <v>40-59%</v>
      </c>
      <c r="L192" s="10" t="str">
        <f aca="false">IF(H192="","No rating",IF(H192&lt;3.5,"Below 3.5",IF(H192&lt;4,"3.5-3.9",IF(H192&lt;4.5,"4.0-4.4","4.5+"))))</f>
        <v>4.0-4.4</v>
      </c>
    </row>
    <row r="193" customFormat="false" ht="15" hidden="false" customHeight="false" outlineLevel="0" collapsed="false">
      <c r="A193" s="10" t="s">
        <v>407</v>
      </c>
      <c r="B193" s="10" t="s">
        <v>408</v>
      </c>
      <c r="C193" s="10" t="s">
        <v>21</v>
      </c>
      <c r="D193" s="10" t="s">
        <v>22</v>
      </c>
      <c r="E193" s="11" t="n">
        <v>1999</v>
      </c>
      <c r="F193" s="11" t="n">
        <v>709</v>
      </c>
      <c r="G193" s="12" t="n">
        <v>0.65</v>
      </c>
      <c r="H193" s="13" t="n">
        <v>4.1</v>
      </c>
      <c r="I193" s="11" t="n">
        <v>178817</v>
      </c>
      <c r="J193" s="11" t="n">
        <f aca="false">E193-F193</f>
        <v>1290</v>
      </c>
      <c r="K193" s="10" t="str">
        <f aca="false">IF(G193&lt;0.2,"0-19%",IF(G193&lt;0.4,"20-39%",IF(G193&lt;0.6,"40-59%",IF(G193&lt;0.8,"60-79%","80%+"))))</f>
        <v>60-79%</v>
      </c>
      <c r="L193" s="10" t="str">
        <f aca="false">IF(H193="","No rating",IF(H193&lt;3.5,"Below 3.5",IF(H193&lt;4,"3.5-3.9",IF(H193&lt;4.5,"4.0-4.4","4.5+"))))</f>
        <v>4.0-4.4</v>
      </c>
    </row>
    <row r="194" customFormat="false" ht="15" hidden="false" customHeight="false" outlineLevel="0" collapsed="false">
      <c r="A194" s="10" t="s">
        <v>409</v>
      </c>
      <c r="B194" s="10" t="s">
        <v>410</v>
      </c>
      <c r="C194" s="10" t="s">
        <v>48</v>
      </c>
      <c r="D194" s="10" t="s">
        <v>49</v>
      </c>
      <c r="E194" s="11" t="n">
        <v>70900</v>
      </c>
      <c r="F194" s="11" t="n">
        <v>47990</v>
      </c>
      <c r="G194" s="12" t="n">
        <v>0.32</v>
      </c>
      <c r="H194" s="13" t="n">
        <v>4.3</v>
      </c>
      <c r="I194" s="11" t="n">
        <v>7109</v>
      </c>
      <c r="J194" s="11" t="n">
        <f aca="false">E194-F194</f>
        <v>22910</v>
      </c>
      <c r="K194" s="10" t="str">
        <f aca="false">IF(G194&lt;0.2,"0-19%",IF(G194&lt;0.4,"20-39%",IF(G194&lt;0.6,"40-59%",IF(G194&lt;0.8,"60-79%","80%+"))))</f>
        <v>20-39%</v>
      </c>
      <c r="L194" s="10" t="str">
        <f aca="false">IF(H194="","No rating",IF(H194&lt;3.5,"Below 3.5",IF(H194&lt;4,"3.5-3.9",IF(H194&lt;4.5,"4.0-4.4","4.5+"))))</f>
        <v>4.0-4.4</v>
      </c>
    </row>
    <row r="195" customFormat="false" ht="15" hidden="false" customHeight="false" outlineLevel="0" collapsed="false">
      <c r="A195" s="10" t="s">
        <v>411</v>
      </c>
      <c r="B195" s="10" t="s">
        <v>412</v>
      </c>
      <c r="C195" s="10" t="s">
        <v>48</v>
      </c>
      <c r="D195" s="10" t="s">
        <v>49</v>
      </c>
      <c r="E195" s="11" t="n">
        <v>1199</v>
      </c>
      <c r="F195" s="11" t="n">
        <v>299</v>
      </c>
      <c r="G195" s="12" t="n">
        <v>0.75</v>
      </c>
      <c r="H195" s="13" t="n">
        <v>3.7</v>
      </c>
      <c r="I195" s="11" t="n">
        <v>490</v>
      </c>
      <c r="J195" s="11" t="n">
        <f aca="false">E195-F195</f>
        <v>900</v>
      </c>
      <c r="K195" s="10" t="str">
        <f aca="false">IF(G195&lt;0.2,"0-19%",IF(G195&lt;0.4,"20-39%",IF(G195&lt;0.6,"40-59%",IF(G195&lt;0.8,"60-79%","80%+"))))</f>
        <v>60-79%</v>
      </c>
      <c r="L195" s="10" t="str">
        <f aca="false">IF(H195="","No rating",IF(H195&lt;3.5,"Below 3.5",IF(H195&lt;4,"3.5-3.9",IF(H195&lt;4.5,"4.0-4.4","4.5+"))))</f>
        <v>3.5-3.9</v>
      </c>
    </row>
    <row r="196" customFormat="false" ht="15" hidden="false" customHeight="false" outlineLevel="0" collapsed="false">
      <c r="A196" s="10" t="s">
        <v>413</v>
      </c>
      <c r="B196" s="10" t="s">
        <v>414</v>
      </c>
      <c r="C196" s="10" t="s">
        <v>21</v>
      </c>
      <c r="D196" s="10" t="s">
        <v>22</v>
      </c>
      <c r="E196" s="11" t="n">
        <v>599</v>
      </c>
      <c r="F196" s="11" t="n">
        <v>320</v>
      </c>
      <c r="G196" s="12" t="n">
        <v>0.47</v>
      </c>
      <c r="H196" s="13" t="n">
        <v>4.1</v>
      </c>
      <c r="I196" s="11" t="n">
        <v>491</v>
      </c>
      <c r="J196" s="11" t="n">
        <f aca="false">E196-F196</f>
        <v>279</v>
      </c>
      <c r="K196" s="10" t="str">
        <f aca="false">IF(G196&lt;0.2,"0-19%",IF(G196&lt;0.4,"20-39%",IF(G196&lt;0.6,"40-59%",IF(G196&lt;0.8,"60-79%","80%+"))))</f>
        <v>40-59%</v>
      </c>
      <c r="L196" s="10" t="str">
        <f aca="false">IF(H196="","No rating",IF(H196&lt;3.5,"Below 3.5",IF(H196&lt;4,"3.5-3.9",IF(H196&lt;4.5,"4.0-4.4","4.5+"))))</f>
        <v>4.0-4.4</v>
      </c>
    </row>
    <row r="197" customFormat="false" ht="15" hidden="false" customHeight="false" outlineLevel="0" collapsed="false">
      <c r="A197" s="10" t="s">
        <v>415</v>
      </c>
      <c r="B197" s="10" t="s">
        <v>416</v>
      </c>
      <c r="C197" s="10" t="s">
        <v>21</v>
      </c>
      <c r="D197" s="10" t="s">
        <v>22</v>
      </c>
      <c r="E197" s="11" t="n">
        <v>549</v>
      </c>
      <c r="F197" s="11" t="n">
        <v>139</v>
      </c>
      <c r="G197" s="12" t="n">
        <v>0.75</v>
      </c>
      <c r="H197" s="13" t="n">
        <v>3.9</v>
      </c>
      <c r="I197" s="11" t="n">
        <v>61</v>
      </c>
      <c r="J197" s="11" t="n">
        <f aca="false">E197-F197</f>
        <v>410</v>
      </c>
      <c r="K197" s="10" t="str">
        <f aca="false">IF(G197&lt;0.2,"0-19%",IF(G197&lt;0.4,"20-39%",IF(G197&lt;0.6,"40-59%",IF(G197&lt;0.8,"60-79%","80%+"))))</f>
        <v>60-79%</v>
      </c>
      <c r="L197" s="10" t="str">
        <f aca="false">IF(H197="","No rating",IF(H197&lt;3.5,"Below 3.5",IF(H197&lt;4,"3.5-3.9",IF(H197&lt;4.5,"4.0-4.4","4.5+"))))</f>
        <v>3.5-3.9</v>
      </c>
    </row>
    <row r="198" customFormat="false" ht="15" hidden="false" customHeight="false" outlineLevel="0" collapsed="false">
      <c r="A198" s="10" t="s">
        <v>417</v>
      </c>
      <c r="B198" s="10" t="s">
        <v>418</v>
      </c>
      <c r="C198" s="10" t="s">
        <v>21</v>
      </c>
      <c r="D198" s="10" t="s">
        <v>22</v>
      </c>
      <c r="E198" s="11" t="n">
        <v>249</v>
      </c>
      <c r="F198" s="11" t="n">
        <v>129</v>
      </c>
      <c r="G198" s="12" t="n">
        <v>0.48</v>
      </c>
      <c r="H198" s="13" t="n">
        <v>4</v>
      </c>
      <c r="I198" s="11" t="n">
        <v>9378</v>
      </c>
      <c r="J198" s="11" t="n">
        <f aca="false">E198-F198</f>
        <v>120</v>
      </c>
      <c r="K198" s="10" t="str">
        <f aca="false">IF(G198&lt;0.2,"0-19%",IF(G198&lt;0.4,"20-39%",IF(G198&lt;0.6,"40-59%",IF(G198&lt;0.8,"60-79%","80%+"))))</f>
        <v>40-59%</v>
      </c>
      <c r="L198" s="10" t="str">
        <f aca="false">IF(H198="","No rating",IF(H198&lt;3.5,"Below 3.5",IF(H198&lt;4,"3.5-3.9",IF(H198&lt;4.5,"4.0-4.4","4.5+"))))</f>
        <v>4.0-4.4</v>
      </c>
    </row>
    <row r="199" customFormat="false" ht="15" hidden="false" customHeight="false" outlineLevel="0" collapsed="false">
      <c r="A199" s="10" t="s">
        <v>419</v>
      </c>
      <c r="B199" s="10" t="s">
        <v>420</v>
      </c>
      <c r="C199" s="10" t="s">
        <v>48</v>
      </c>
      <c r="D199" s="10" t="s">
        <v>49</v>
      </c>
      <c r="E199" s="11" t="n">
        <v>35999</v>
      </c>
      <c r="F199" s="11" t="n">
        <v>24999</v>
      </c>
      <c r="G199" s="12" t="n">
        <v>0.31</v>
      </c>
      <c r="H199" s="13" t="n">
        <v>4.2</v>
      </c>
      <c r="I199" s="11" t="n">
        <v>32840</v>
      </c>
      <c r="J199" s="11" t="n">
        <f aca="false">E199-F199</f>
        <v>11000</v>
      </c>
      <c r="K199" s="10" t="str">
        <f aca="false">IF(G199&lt;0.2,"0-19%",IF(G199&lt;0.4,"20-39%",IF(G199&lt;0.6,"40-59%",IF(G199&lt;0.8,"60-79%","80%+"))))</f>
        <v>20-39%</v>
      </c>
      <c r="L199" s="10" t="str">
        <f aca="false">IF(H199="","No rating",IF(H199&lt;3.5,"Below 3.5",IF(H199&lt;4,"3.5-3.9",IF(H199&lt;4.5,"4.0-4.4","4.5+"))))</f>
        <v>4.0-4.4</v>
      </c>
    </row>
    <row r="200" customFormat="false" ht="15" hidden="false" customHeight="false" outlineLevel="0" collapsed="false">
      <c r="A200" s="10" t="s">
        <v>421</v>
      </c>
      <c r="B200" s="10" t="s">
        <v>422</v>
      </c>
      <c r="C200" s="10" t="s">
        <v>21</v>
      </c>
      <c r="D200" s="10" t="s">
        <v>22</v>
      </c>
      <c r="E200" s="11" t="n">
        <v>1699</v>
      </c>
      <c r="F200" s="11" t="n">
        <v>999</v>
      </c>
      <c r="G200" s="12" t="n">
        <v>0.41</v>
      </c>
      <c r="H200" s="13" t="n">
        <v>4.4</v>
      </c>
      <c r="I200" s="11" t="n">
        <v>7318</v>
      </c>
      <c r="J200" s="11" t="n">
        <f aca="false">E200-F200</f>
        <v>700</v>
      </c>
      <c r="K200" s="10" t="str">
        <f aca="false">IF(G200&lt;0.2,"0-19%",IF(G200&lt;0.4,"20-39%",IF(G200&lt;0.6,"40-59%",IF(G200&lt;0.8,"60-79%","80%+"))))</f>
        <v>40-59%</v>
      </c>
      <c r="L200" s="10" t="str">
        <f aca="false">IF(H200="","No rating",IF(H200&lt;3.5,"Below 3.5",IF(H200&lt;4,"3.5-3.9",IF(H200&lt;4.5,"4.0-4.4","4.5+"))))</f>
        <v>4.0-4.4</v>
      </c>
    </row>
    <row r="201" customFormat="false" ht="15" hidden="false" customHeight="false" outlineLevel="0" collapsed="false">
      <c r="A201" s="10" t="s">
        <v>423</v>
      </c>
      <c r="B201" s="10" t="s">
        <v>424</v>
      </c>
      <c r="C201" s="10" t="s">
        <v>21</v>
      </c>
      <c r="D201" s="10" t="s">
        <v>22</v>
      </c>
      <c r="E201" s="11" t="n">
        <v>499</v>
      </c>
      <c r="F201" s="11" t="n">
        <v>225</v>
      </c>
      <c r="G201" s="12" t="n">
        <v>0.55</v>
      </c>
      <c r="H201" s="13" t="n">
        <v>4.1</v>
      </c>
      <c r="I201" s="11" t="n">
        <v>789</v>
      </c>
      <c r="J201" s="11" t="n">
        <f aca="false">E201-F201</f>
        <v>274</v>
      </c>
      <c r="K201" s="10" t="str">
        <f aca="false">IF(G201&lt;0.2,"0-19%",IF(G201&lt;0.4,"20-39%",IF(G201&lt;0.6,"40-59%",IF(G201&lt;0.8,"60-79%","80%+"))))</f>
        <v>40-59%</v>
      </c>
      <c r="L201" s="10" t="str">
        <f aca="false">IF(H201="","No rating",IF(H201&lt;3.5,"Below 3.5",IF(H201&lt;4,"3.5-3.9",IF(H201&lt;4.5,"4.0-4.4","4.5+"))))</f>
        <v>4.0-4.4</v>
      </c>
    </row>
    <row r="202" customFormat="false" ht="15" hidden="false" customHeight="false" outlineLevel="0" collapsed="false">
      <c r="A202" s="10" t="s">
        <v>425</v>
      </c>
      <c r="B202" s="10" t="s">
        <v>426</v>
      </c>
      <c r="C202" s="10" t="s">
        <v>48</v>
      </c>
      <c r="D202" s="10" t="s">
        <v>49</v>
      </c>
      <c r="E202" s="11" t="n">
        <v>2999</v>
      </c>
      <c r="F202" s="11" t="n">
        <v>547</v>
      </c>
      <c r="G202" s="12" t="n">
        <v>0.82</v>
      </c>
      <c r="H202" s="13" t="n">
        <v>4.3</v>
      </c>
      <c r="I202" s="11" t="n">
        <v>407</v>
      </c>
      <c r="J202" s="11" t="n">
        <f aca="false">E202-F202</f>
        <v>2452</v>
      </c>
      <c r="K202" s="10" t="str">
        <f aca="false">IF(G202&lt;0.2,"0-19%",IF(G202&lt;0.4,"20-39%",IF(G202&lt;0.6,"40-59%",IF(G202&lt;0.8,"60-79%","80%+"))))</f>
        <v>80%+</v>
      </c>
      <c r="L202" s="10" t="str">
        <f aca="false">IF(H202="","No rating",IF(H202&lt;3.5,"Below 3.5",IF(H202&lt;4,"3.5-3.9",IF(H202&lt;4.5,"4.0-4.4","4.5+"))))</f>
        <v>4.0-4.4</v>
      </c>
    </row>
    <row r="203" customFormat="false" ht="15" hidden="false" customHeight="false" outlineLevel="0" collapsed="false">
      <c r="A203" s="10" t="s">
        <v>427</v>
      </c>
      <c r="B203" s="10" t="s">
        <v>428</v>
      </c>
      <c r="C203" s="10" t="s">
        <v>21</v>
      </c>
      <c r="D203" s="10" t="s">
        <v>22</v>
      </c>
      <c r="E203" s="11" t="n">
        <v>699</v>
      </c>
      <c r="F203" s="11" t="n">
        <v>259</v>
      </c>
      <c r="G203" s="12" t="n">
        <v>0.63</v>
      </c>
      <c r="H203" s="13" t="n">
        <v>3.8</v>
      </c>
      <c r="I203" s="11" t="n">
        <v>2399</v>
      </c>
      <c r="J203" s="11" t="n">
        <f aca="false">E203-F203</f>
        <v>440</v>
      </c>
      <c r="K203" s="10" t="str">
        <f aca="false">IF(G203&lt;0.2,"0-19%",IF(G203&lt;0.4,"20-39%",IF(G203&lt;0.6,"40-59%",IF(G203&lt;0.8,"60-79%","80%+"))))</f>
        <v>60-79%</v>
      </c>
      <c r="L203" s="10" t="str">
        <f aca="false">IF(H203="","No rating",IF(H203&lt;3.5,"Below 3.5",IF(H203&lt;4,"3.5-3.9",IF(H203&lt;4.5,"4.0-4.4","4.5+"))))</f>
        <v>3.5-3.9</v>
      </c>
    </row>
    <row r="204" customFormat="false" ht="15" hidden="false" customHeight="false" outlineLevel="0" collapsed="false">
      <c r="A204" s="10" t="s">
        <v>429</v>
      </c>
      <c r="B204" s="10" t="s">
        <v>430</v>
      </c>
      <c r="C204" s="10" t="s">
        <v>48</v>
      </c>
      <c r="D204" s="10" t="s">
        <v>49</v>
      </c>
      <c r="E204" s="11" t="n">
        <v>699</v>
      </c>
      <c r="F204" s="11" t="n">
        <v>239</v>
      </c>
      <c r="G204" s="12" t="n">
        <v>0.66</v>
      </c>
      <c r="H204" s="13" t="n">
        <v>4.4</v>
      </c>
      <c r="I204" s="11" t="n">
        <v>2640</v>
      </c>
      <c r="J204" s="11" t="n">
        <f aca="false">E204-F204</f>
        <v>460</v>
      </c>
      <c r="K204" s="10" t="str">
        <f aca="false">IF(G204&lt;0.2,"0-19%",IF(G204&lt;0.4,"20-39%",IF(G204&lt;0.6,"40-59%",IF(G204&lt;0.8,"60-79%","80%+"))))</f>
        <v>60-79%</v>
      </c>
      <c r="L204" s="10" t="str">
        <f aca="false">IF(H204="","No rating",IF(H204&lt;3.5,"Below 3.5",IF(H204&lt;4,"3.5-3.9",IF(H204&lt;4.5,"4.0-4.4","4.5+"))))</f>
        <v>4.0-4.4</v>
      </c>
    </row>
    <row r="205" customFormat="false" ht="15" hidden="false" customHeight="false" outlineLevel="0" collapsed="false">
      <c r="A205" s="10" t="s">
        <v>431</v>
      </c>
      <c r="B205" s="10" t="s">
        <v>432</v>
      </c>
      <c r="C205" s="10" t="s">
        <v>48</v>
      </c>
      <c r="D205" s="10" t="s">
        <v>49</v>
      </c>
      <c r="E205" s="11" t="n">
        <v>999</v>
      </c>
      <c r="F205" s="11" t="n">
        <v>349</v>
      </c>
      <c r="G205" s="12" t="n">
        <v>0.65</v>
      </c>
      <c r="H205" s="13" t="n">
        <v>4</v>
      </c>
      <c r="I205" s="11" t="n">
        <v>839</v>
      </c>
      <c r="J205" s="11" t="n">
        <f aca="false">E205-F205</f>
        <v>650</v>
      </c>
      <c r="K205" s="10" t="str">
        <f aca="false">IF(G205&lt;0.2,"0-19%",IF(G205&lt;0.4,"20-39%",IF(G205&lt;0.6,"40-59%",IF(G205&lt;0.8,"60-79%","80%+"))))</f>
        <v>60-79%</v>
      </c>
      <c r="L205" s="10" t="str">
        <f aca="false">IF(H205="","No rating",IF(H205&lt;3.5,"Below 3.5",IF(H205&lt;4,"3.5-3.9",IF(H205&lt;4.5,"4.0-4.4","4.5+"))))</f>
        <v>4.0-4.4</v>
      </c>
    </row>
    <row r="206" customFormat="false" ht="15" hidden="false" customHeight="false" outlineLevel="0" collapsed="false">
      <c r="A206" s="10" t="s">
        <v>433</v>
      </c>
      <c r="B206" s="10" t="s">
        <v>434</v>
      </c>
      <c r="C206" s="10" t="s">
        <v>48</v>
      </c>
      <c r="D206" s="10" t="s">
        <v>49</v>
      </c>
      <c r="E206" s="11" t="n">
        <v>599</v>
      </c>
      <c r="F206" s="11" t="n">
        <v>467</v>
      </c>
      <c r="G206" s="12" t="n">
        <v>0.22</v>
      </c>
      <c r="H206" s="13" t="n">
        <v>4.4</v>
      </c>
      <c r="I206" s="11" t="n">
        <v>44054</v>
      </c>
      <c r="J206" s="11" t="n">
        <f aca="false">E206-F206</f>
        <v>132</v>
      </c>
      <c r="K206" s="10" t="str">
        <f aca="false">IF(G206&lt;0.2,"0-19%",IF(G206&lt;0.4,"20-39%",IF(G206&lt;0.6,"40-59%",IF(G206&lt;0.8,"60-79%","80%+"))))</f>
        <v>20-39%</v>
      </c>
      <c r="L206" s="10" t="str">
        <f aca="false">IF(H206="","No rating",IF(H206&lt;3.5,"Below 3.5",IF(H206&lt;4,"3.5-3.9",IF(H206&lt;4.5,"4.0-4.4","4.5+"))))</f>
        <v>4.0-4.4</v>
      </c>
    </row>
    <row r="207" customFormat="false" ht="15" hidden="false" customHeight="false" outlineLevel="0" collapsed="false">
      <c r="A207" s="10" t="s">
        <v>435</v>
      </c>
      <c r="B207" s="10" t="s">
        <v>436</v>
      </c>
      <c r="C207" s="10" t="s">
        <v>21</v>
      </c>
      <c r="D207" s="10" t="s">
        <v>22</v>
      </c>
      <c r="E207" s="11" t="n">
        <v>599</v>
      </c>
      <c r="F207" s="11" t="n">
        <v>449</v>
      </c>
      <c r="G207" s="12" t="n">
        <v>0.25</v>
      </c>
      <c r="H207" s="13" t="n">
        <v>4</v>
      </c>
      <c r="I207" s="11" t="n">
        <v>3231</v>
      </c>
      <c r="J207" s="11" t="n">
        <f aca="false">E207-F207</f>
        <v>150</v>
      </c>
      <c r="K207" s="10" t="str">
        <f aca="false">IF(G207&lt;0.2,"0-19%",IF(G207&lt;0.4,"20-39%",IF(G207&lt;0.6,"40-59%",IF(G207&lt;0.8,"60-79%","80%+"))))</f>
        <v>20-39%</v>
      </c>
      <c r="L207" s="10" t="str">
        <f aca="false">IF(H207="","No rating",IF(H207&lt;3.5,"Below 3.5",IF(H207&lt;4,"3.5-3.9",IF(H207&lt;4.5,"4.0-4.4","4.5+"))))</f>
        <v>4.0-4.4</v>
      </c>
    </row>
    <row r="208" customFormat="false" ht="15" hidden="false" customHeight="false" outlineLevel="0" collapsed="false">
      <c r="A208" s="10" t="s">
        <v>437</v>
      </c>
      <c r="B208" s="10" t="s">
        <v>438</v>
      </c>
      <c r="C208" s="10" t="s">
        <v>48</v>
      </c>
      <c r="D208" s="10" t="s">
        <v>49</v>
      </c>
      <c r="E208" s="11" t="n">
        <v>31990</v>
      </c>
      <c r="F208" s="11" t="n">
        <v>11990</v>
      </c>
      <c r="G208" s="12" t="n">
        <v>0.63</v>
      </c>
      <c r="H208" s="13" t="n">
        <v>4.2</v>
      </c>
      <c r="I208" s="11" t="n">
        <v>64</v>
      </c>
      <c r="J208" s="11" t="n">
        <f aca="false">E208-F208</f>
        <v>20000</v>
      </c>
      <c r="K208" s="10" t="str">
        <f aca="false">IF(G208&lt;0.2,"0-19%",IF(G208&lt;0.4,"20-39%",IF(G208&lt;0.6,"40-59%",IF(G208&lt;0.8,"60-79%","80%+"))))</f>
        <v>60-79%</v>
      </c>
      <c r="L208" s="10" t="str">
        <f aca="false">IF(H208="","No rating",IF(H208&lt;3.5,"Below 3.5",IF(H208&lt;4,"3.5-3.9",IF(H208&lt;4.5,"4.0-4.4","4.5+"))))</f>
        <v>4.0-4.4</v>
      </c>
    </row>
    <row r="209" customFormat="false" ht="15" hidden="false" customHeight="false" outlineLevel="0" collapsed="false">
      <c r="A209" s="10" t="s">
        <v>439</v>
      </c>
      <c r="B209" s="10" t="s">
        <v>440</v>
      </c>
      <c r="C209" s="10" t="s">
        <v>21</v>
      </c>
      <c r="D209" s="10" t="s">
        <v>22</v>
      </c>
      <c r="E209" s="11" t="n">
        <v>599</v>
      </c>
      <c r="F209" s="11" t="n">
        <v>350</v>
      </c>
      <c r="G209" s="12" t="n">
        <v>0.42</v>
      </c>
      <c r="H209" s="13" t="n">
        <v>3.9</v>
      </c>
      <c r="I209" s="11" t="n">
        <v>8314</v>
      </c>
      <c r="J209" s="11" t="n">
        <f aca="false">E209-F209</f>
        <v>249</v>
      </c>
      <c r="K209" s="10" t="str">
        <f aca="false">IF(G209&lt;0.2,"0-19%",IF(G209&lt;0.4,"20-39%",IF(G209&lt;0.6,"40-59%",IF(G209&lt;0.8,"60-79%","80%+"))))</f>
        <v>40-59%</v>
      </c>
      <c r="L209" s="10" t="str">
        <f aca="false">IF(H209="","No rating",IF(H209&lt;3.5,"Below 3.5",IF(H209&lt;4,"3.5-3.9",IF(H209&lt;4.5,"4.0-4.4","4.5+"))))</f>
        <v>3.5-3.9</v>
      </c>
    </row>
    <row r="210" customFormat="false" ht="15" hidden="false" customHeight="false" outlineLevel="0" collapsed="false">
      <c r="A210" s="10" t="s">
        <v>441</v>
      </c>
      <c r="B210" s="10" t="s">
        <v>442</v>
      </c>
      <c r="C210" s="10" t="s">
        <v>21</v>
      </c>
      <c r="D210" s="10" t="s">
        <v>22</v>
      </c>
      <c r="E210" s="11" t="n">
        <v>999</v>
      </c>
      <c r="F210" s="11" t="n">
        <v>252</v>
      </c>
      <c r="G210" s="12" t="n">
        <v>0.75</v>
      </c>
      <c r="H210" s="13" t="n">
        <v>3.7</v>
      </c>
      <c r="I210" s="11" t="n">
        <v>2249</v>
      </c>
      <c r="J210" s="11" t="n">
        <f aca="false">E210-F210</f>
        <v>747</v>
      </c>
      <c r="K210" s="10" t="str">
        <f aca="false">IF(G210&lt;0.2,"0-19%",IF(G210&lt;0.4,"20-39%",IF(G210&lt;0.6,"40-59%",IF(G210&lt;0.8,"60-79%","80%+"))))</f>
        <v>60-79%</v>
      </c>
      <c r="L210" s="10" t="str">
        <f aca="false">IF(H210="","No rating",IF(H210&lt;3.5,"Below 3.5",IF(H210&lt;4,"3.5-3.9",IF(H210&lt;4.5,"4.0-4.4","4.5+"))))</f>
        <v>3.5-3.9</v>
      </c>
    </row>
    <row r="211" customFormat="false" ht="15" hidden="false" customHeight="false" outlineLevel="0" collapsed="false">
      <c r="A211" s="10" t="s">
        <v>443</v>
      </c>
      <c r="B211" s="10" t="s">
        <v>444</v>
      </c>
      <c r="C211" s="10" t="s">
        <v>48</v>
      </c>
      <c r="D211" s="10" t="s">
        <v>49</v>
      </c>
      <c r="E211" s="11" t="n">
        <v>599</v>
      </c>
      <c r="F211" s="11" t="n">
        <v>204</v>
      </c>
      <c r="G211" s="12" t="n">
        <v>0.66</v>
      </c>
      <c r="H211" s="13" t="n">
        <v>3.6</v>
      </c>
      <c r="I211" s="11" t="n">
        <v>339</v>
      </c>
      <c r="J211" s="11" t="n">
        <f aca="false">E211-F211</f>
        <v>395</v>
      </c>
      <c r="K211" s="10" t="str">
        <f aca="false">IF(G211&lt;0.2,"0-19%",IF(G211&lt;0.4,"20-39%",IF(G211&lt;0.6,"40-59%",IF(G211&lt;0.8,"60-79%","80%+"))))</f>
        <v>60-79%</v>
      </c>
      <c r="L211" s="10" t="str">
        <f aca="false">IF(H211="","No rating",IF(H211&lt;3.5,"Below 3.5",IF(H211&lt;4,"3.5-3.9",IF(H211&lt;4.5,"4.0-4.4","4.5+"))))</f>
        <v>3.5-3.9</v>
      </c>
    </row>
    <row r="212" customFormat="false" ht="15" hidden="false" customHeight="false" outlineLevel="0" collapsed="false">
      <c r="A212" s="10" t="s">
        <v>445</v>
      </c>
      <c r="B212" s="10" t="s">
        <v>446</v>
      </c>
      <c r="C212" s="10" t="s">
        <v>48</v>
      </c>
      <c r="D212" s="10" t="s">
        <v>49</v>
      </c>
      <c r="E212" s="11" t="n">
        <v>9990</v>
      </c>
      <c r="F212" s="11" t="n">
        <v>6490</v>
      </c>
      <c r="G212" s="12" t="n">
        <v>0.35</v>
      </c>
      <c r="H212" s="13" t="n">
        <v>4</v>
      </c>
      <c r="I212" s="11" t="n">
        <v>27</v>
      </c>
      <c r="J212" s="11" t="n">
        <f aca="false">E212-F212</f>
        <v>3500</v>
      </c>
      <c r="K212" s="10" t="str">
        <f aca="false">IF(G212&lt;0.2,"0-19%",IF(G212&lt;0.4,"20-39%",IF(G212&lt;0.6,"40-59%",IF(G212&lt;0.8,"60-79%","80%+"))))</f>
        <v>20-39%</v>
      </c>
      <c r="L212" s="10" t="str">
        <f aca="false">IF(H212="","No rating",IF(H212&lt;3.5,"Below 3.5",IF(H212&lt;4,"3.5-3.9",IF(H212&lt;4.5,"4.0-4.4","4.5+"))))</f>
        <v>4.0-4.4</v>
      </c>
    </row>
    <row r="213" customFormat="false" ht="15" hidden="false" customHeight="false" outlineLevel="0" collapsed="false">
      <c r="A213" s="10" t="s">
        <v>447</v>
      </c>
      <c r="B213" s="10" t="s">
        <v>448</v>
      </c>
      <c r="C213" s="10" t="s">
        <v>48</v>
      </c>
      <c r="D213" s="10" t="s">
        <v>49</v>
      </c>
      <c r="E213" s="11" t="n">
        <v>599</v>
      </c>
      <c r="F213" s="11" t="n">
        <v>235</v>
      </c>
      <c r="G213" s="12" t="n">
        <v>0.61</v>
      </c>
      <c r="H213" s="13" t="n">
        <v>3.5</v>
      </c>
      <c r="I213" s="11" t="n">
        <v>197</v>
      </c>
      <c r="J213" s="11" t="n">
        <f aca="false">E213-F213</f>
        <v>364</v>
      </c>
      <c r="K213" s="10" t="str">
        <f aca="false">IF(G213&lt;0.2,"0-19%",IF(G213&lt;0.4,"20-39%",IF(G213&lt;0.6,"40-59%",IF(G213&lt;0.8,"60-79%","80%+"))))</f>
        <v>60-79%</v>
      </c>
      <c r="L213" s="10" t="str">
        <f aca="false">IF(H213="","No rating",IF(H213&lt;3.5,"Below 3.5",IF(H213&lt;4,"3.5-3.9",IF(H213&lt;4.5,"4.0-4.4","4.5+"))))</f>
        <v>3.5-3.9</v>
      </c>
    </row>
    <row r="214" customFormat="false" ht="15" hidden="false" customHeight="false" outlineLevel="0" collapsed="false">
      <c r="A214" s="10" t="s">
        <v>449</v>
      </c>
      <c r="B214" s="10" t="s">
        <v>450</v>
      </c>
      <c r="C214" s="10" t="s">
        <v>21</v>
      </c>
      <c r="D214" s="10" t="s">
        <v>22</v>
      </c>
      <c r="E214" s="11" t="n">
        <v>800</v>
      </c>
      <c r="F214" s="11" t="n">
        <v>299</v>
      </c>
      <c r="G214" s="12" t="n">
        <v>0.63</v>
      </c>
      <c r="H214" s="13" t="n">
        <v>4.5</v>
      </c>
      <c r="I214" s="11" t="n">
        <v>74977</v>
      </c>
      <c r="J214" s="11" t="n">
        <f aca="false">E214-F214</f>
        <v>501</v>
      </c>
      <c r="K214" s="10" t="str">
        <f aca="false">IF(G214&lt;0.2,"0-19%",IF(G214&lt;0.4,"20-39%",IF(G214&lt;0.6,"40-59%",IF(G214&lt;0.8,"60-79%","80%+"))))</f>
        <v>60-79%</v>
      </c>
      <c r="L214" s="10" t="str">
        <f aca="false">IF(H214="","No rating",IF(H214&lt;3.5,"Below 3.5",IF(H214&lt;4,"3.5-3.9",IF(H214&lt;4.5,"4.0-4.4","4.5+"))))</f>
        <v>4.5+</v>
      </c>
    </row>
    <row r="215" customFormat="false" ht="15" hidden="false" customHeight="false" outlineLevel="0" collapsed="false">
      <c r="A215" s="10" t="s">
        <v>451</v>
      </c>
      <c r="B215" s="10" t="s">
        <v>452</v>
      </c>
      <c r="C215" s="10" t="s">
        <v>21</v>
      </c>
      <c r="D215" s="10" t="s">
        <v>22</v>
      </c>
      <c r="E215" s="11" t="n">
        <v>1999</v>
      </c>
      <c r="F215" s="11" t="n">
        <v>799</v>
      </c>
      <c r="G215" s="12" t="n">
        <v>0.6</v>
      </c>
      <c r="H215" s="13" t="n">
        <v>4.2</v>
      </c>
      <c r="I215" s="11" t="n">
        <v>8583</v>
      </c>
      <c r="J215" s="11" t="n">
        <f aca="false">E215-F215</f>
        <v>1200</v>
      </c>
      <c r="K215" s="10" t="str">
        <f aca="false">IF(G215&lt;0.2,"0-19%",IF(G215&lt;0.4,"20-39%",IF(G215&lt;0.6,"40-59%",IF(G215&lt;0.8,"60-79%","80%+"))))</f>
        <v>60-79%</v>
      </c>
      <c r="L215" s="10" t="str">
        <f aca="false">IF(H215="","No rating",IF(H215&lt;3.5,"Below 3.5",IF(H215&lt;4,"3.5-3.9",IF(H215&lt;4.5,"4.0-4.4","4.5+"))))</f>
        <v>4.0-4.4</v>
      </c>
    </row>
    <row r="216" customFormat="false" ht="15" hidden="false" customHeight="false" outlineLevel="0" collapsed="false">
      <c r="A216" s="10" t="s">
        <v>453</v>
      </c>
      <c r="B216" s="10" t="s">
        <v>454</v>
      </c>
      <c r="C216" s="10" t="s">
        <v>48</v>
      </c>
      <c r="D216" s="10" t="s">
        <v>49</v>
      </c>
      <c r="E216" s="11" t="n">
        <v>999</v>
      </c>
      <c r="F216" s="11" t="n">
        <v>299</v>
      </c>
      <c r="G216" s="12" t="n">
        <v>0.7</v>
      </c>
      <c r="H216" s="13" t="n">
        <v>3.8</v>
      </c>
      <c r="I216" s="11" t="n">
        <v>928</v>
      </c>
      <c r="J216" s="11" t="n">
        <f aca="false">E216-F216</f>
        <v>700</v>
      </c>
      <c r="K216" s="10" t="str">
        <f aca="false">IF(G216&lt;0.2,"0-19%",IF(G216&lt;0.4,"20-39%",IF(G216&lt;0.6,"40-59%",IF(G216&lt;0.8,"60-79%","80%+"))))</f>
        <v>60-79%</v>
      </c>
      <c r="L216" s="10" t="str">
        <f aca="false">IF(H216="","No rating",IF(H216&lt;3.5,"Below 3.5",IF(H216&lt;4,"3.5-3.9",IF(H216&lt;4.5,"4.0-4.4","4.5+"))))</f>
        <v>3.5-3.9</v>
      </c>
    </row>
    <row r="217" customFormat="false" ht="15" hidden="false" customHeight="false" outlineLevel="0" collapsed="false">
      <c r="A217" s="10" t="s">
        <v>455</v>
      </c>
      <c r="B217" s="10" t="s">
        <v>456</v>
      </c>
      <c r="C217" s="10" t="s">
        <v>48</v>
      </c>
      <c r="D217" s="10" t="s">
        <v>49</v>
      </c>
      <c r="E217" s="11" t="n">
        <v>16990</v>
      </c>
      <c r="F217" s="11" t="n">
        <v>6999</v>
      </c>
      <c r="G217" s="12" t="n">
        <v>0.59</v>
      </c>
      <c r="H217" s="13" t="n">
        <v>3.8</v>
      </c>
      <c r="I217" s="11" t="n">
        <v>110</v>
      </c>
      <c r="J217" s="11" t="n">
        <f aca="false">E217-F217</f>
        <v>9991</v>
      </c>
      <c r="K217" s="10" t="str">
        <f aca="false">IF(G217&lt;0.2,"0-19%",IF(G217&lt;0.4,"20-39%",IF(G217&lt;0.6,"40-59%",IF(G217&lt;0.8,"60-79%","80%+"))))</f>
        <v>40-59%</v>
      </c>
      <c r="L217" s="10" t="str">
        <f aca="false">IF(H217="","No rating",IF(H217&lt;3.5,"Below 3.5",IF(H217&lt;4,"3.5-3.9",IF(H217&lt;4.5,"4.0-4.4","4.5+"))))</f>
        <v>3.5-3.9</v>
      </c>
    </row>
    <row r="218" customFormat="false" ht="15" hidden="false" customHeight="false" outlineLevel="0" collapsed="false">
      <c r="A218" s="10" t="s">
        <v>457</v>
      </c>
      <c r="B218" s="10" t="s">
        <v>458</v>
      </c>
      <c r="C218" s="10" t="s">
        <v>48</v>
      </c>
      <c r="D218" s="10" t="s">
        <v>49</v>
      </c>
      <c r="E218" s="11" t="n">
        <v>59999</v>
      </c>
      <c r="F218" s="11" t="n">
        <v>42999</v>
      </c>
      <c r="G218" s="12" t="n">
        <v>0.28</v>
      </c>
      <c r="H218" s="13" t="n">
        <v>4.1</v>
      </c>
      <c r="I218" s="11" t="n">
        <v>6753</v>
      </c>
      <c r="J218" s="11" t="n">
        <f aca="false">E218-F218</f>
        <v>17000</v>
      </c>
      <c r="K218" s="10" t="str">
        <f aca="false">IF(G218&lt;0.2,"0-19%",IF(G218&lt;0.4,"20-39%",IF(G218&lt;0.6,"40-59%",IF(G218&lt;0.8,"60-79%","80%+"))))</f>
        <v>20-39%</v>
      </c>
      <c r="L218" s="10" t="str">
        <f aca="false">IF(H218="","No rating",IF(H218&lt;3.5,"Below 3.5",IF(H218&lt;4,"3.5-3.9",IF(H218&lt;4.5,"4.0-4.4","4.5+"))))</f>
        <v>4.0-4.4</v>
      </c>
    </row>
    <row r="219" customFormat="false" ht="15" hidden="false" customHeight="false" outlineLevel="0" collapsed="false">
      <c r="A219" s="10" t="s">
        <v>459</v>
      </c>
      <c r="B219" s="10" t="s">
        <v>460</v>
      </c>
      <c r="C219" s="10" t="s">
        <v>48</v>
      </c>
      <c r="D219" s="10" t="s">
        <v>49</v>
      </c>
      <c r="E219" s="11" t="n">
        <v>999</v>
      </c>
      <c r="F219" s="11" t="n">
        <v>173</v>
      </c>
      <c r="G219" s="12" t="n">
        <v>0.83</v>
      </c>
      <c r="H219" s="13" t="n">
        <v>4.3</v>
      </c>
      <c r="I219" s="11" t="n">
        <v>1237</v>
      </c>
      <c r="J219" s="11" t="n">
        <f aca="false">E219-F219</f>
        <v>826</v>
      </c>
      <c r="K219" s="10" t="str">
        <f aca="false">IF(G219&lt;0.2,"0-19%",IF(G219&lt;0.4,"20-39%",IF(G219&lt;0.6,"40-59%",IF(G219&lt;0.8,"60-79%","80%+"))))</f>
        <v>80%+</v>
      </c>
      <c r="L219" s="10" t="str">
        <f aca="false">IF(H219="","No rating",IF(H219&lt;3.5,"Below 3.5",IF(H219&lt;4,"3.5-3.9",IF(H219&lt;4.5,"4.0-4.4","4.5+"))))</f>
        <v>4.0-4.4</v>
      </c>
    </row>
    <row r="220" customFormat="false" ht="15" hidden="false" customHeight="false" outlineLevel="0" collapsed="false">
      <c r="A220" s="10" t="s">
        <v>461</v>
      </c>
      <c r="B220" s="10" t="s">
        <v>462</v>
      </c>
      <c r="C220" s="10" t="s">
        <v>48</v>
      </c>
      <c r="D220" s="10" t="s">
        <v>290</v>
      </c>
      <c r="E220" s="11" t="n">
        <v>600</v>
      </c>
      <c r="F220" s="11" t="n">
        <v>209</v>
      </c>
      <c r="G220" s="12" t="n">
        <v>0.65</v>
      </c>
      <c r="H220" s="13" t="n">
        <v>4.4</v>
      </c>
      <c r="I220" s="11" t="n">
        <v>18872</v>
      </c>
      <c r="J220" s="11" t="n">
        <f aca="false">E220-F220</f>
        <v>391</v>
      </c>
      <c r="K220" s="10" t="str">
        <f aca="false">IF(G220&lt;0.2,"0-19%",IF(G220&lt;0.4,"20-39%",IF(G220&lt;0.6,"40-59%",IF(G220&lt;0.8,"60-79%","80%+"))))</f>
        <v>60-79%</v>
      </c>
      <c r="L220" s="10" t="str">
        <f aca="false">IF(H220="","No rating",IF(H220&lt;3.5,"Below 3.5",IF(H220&lt;4,"3.5-3.9",IF(H220&lt;4.5,"4.0-4.4","4.5+"))))</f>
        <v>4.0-4.4</v>
      </c>
    </row>
    <row r="221" customFormat="false" ht="15" hidden="false" customHeight="false" outlineLevel="0" collapsed="false">
      <c r="A221" s="10" t="s">
        <v>463</v>
      </c>
      <c r="B221" s="10" t="s">
        <v>464</v>
      </c>
      <c r="C221" s="10" t="s">
        <v>21</v>
      </c>
      <c r="D221" s="10" t="s">
        <v>22</v>
      </c>
      <c r="E221" s="11" t="n">
        <v>1490</v>
      </c>
      <c r="F221" s="11" t="n">
        <v>848.99</v>
      </c>
      <c r="G221" s="12" t="n">
        <v>0.43</v>
      </c>
      <c r="H221" s="13" t="n">
        <v>3.9</v>
      </c>
      <c r="I221" s="11" t="n">
        <v>356</v>
      </c>
      <c r="J221" s="11" t="n">
        <f aca="false">E221-F221</f>
        <v>641.01</v>
      </c>
      <c r="K221" s="10" t="str">
        <f aca="false">IF(G221&lt;0.2,"0-19%",IF(G221&lt;0.4,"20-39%",IF(G221&lt;0.6,"40-59%",IF(G221&lt;0.8,"60-79%","80%+"))))</f>
        <v>40-59%</v>
      </c>
      <c r="L221" s="10" t="str">
        <f aca="false">IF(H221="","No rating",IF(H221&lt;3.5,"Below 3.5",IF(H221&lt;4,"3.5-3.9",IF(H221&lt;4.5,"4.0-4.4","4.5+"))))</f>
        <v>3.5-3.9</v>
      </c>
    </row>
    <row r="222" customFormat="false" ht="15" hidden="false" customHeight="false" outlineLevel="0" collapsed="false">
      <c r="A222" s="10" t="s">
        <v>465</v>
      </c>
      <c r="B222" s="10" t="s">
        <v>466</v>
      </c>
      <c r="C222" s="10" t="s">
        <v>21</v>
      </c>
      <c r="D222" s="10" t="s">
        <v>22</v>
      </c>
      <c r="E222" s="11" t="n">
        <v>1999</v>
      </c>
      <c r="F222" s="11" t="n">
        <v>649</v>
      </c>
      <c r="G222" s="12" t="n">
        <v>0.68</v>
      </c>
      <c r="H222" s="13" t="n">
        <v>4.2</v>
      </c>
      <c r="I222" s="11" t="n">
        <v>24269</v>
      </c>
      <c r="J222" s="11" t="n">
        <f aca="false">E222-F222</f>
        <v>1350</v>
      </c>
      <c r="K222" s="10" t="str">
        <f aca="false">IF(G222&lt;0.2,"0-19%",IF(G222&lt;0.4,"20-39%",IF(G222&lt;0.6,"40-59%",IF(G222&lt;0.8,"60-79%","80%+"))))</f>
        <v>60-79%</v>
      </c>
      <c r="L222" s="10" t="str">
        <f aca="false">IF(H222="","No rating",IF(H222&lt;3.5,"Below 3.5",IF(H222&lt;4,"3.5-3.9",IF(H222&lt;4.5,"4.0-4.4","4.5+"))))</f>
        <v>4.0-4.4</v>
      </c>
    </row>
    <row r="223" customFormat="false" ht="15" hidden="false" customHeight="false" outlineLevel="0" collapsed="false">
      <c r="A223" s="10" t="s">
        <v>467</v>
      </c>
      <c r="B223" s="10" t="s">
        <v>468</v>
      </c>
      <c r="C223" s="10" t="s">
        <v>48</v>
      </c>
      <c r="D223" s="10" t="s">
        <v>49</v>
      </c>
      <c r="E223" s="11" t="n">
        <v>899</v>
      </c>
      <c r="F223" s="11" t="n">
        <v>299</v>
      </c>
      <c r="G223" s="12" t="n">
        <v>0.67</v>
      </c>
      <c r="H223" s="13" t="n">
        <v>3.8</v>
      </c>
      <c r="I223" s="11" t="n">
        <v>425</v>
      </c>
      <c r="J223" s="11" t="n">
        <f aca="false">E223-F223</f>
        <v>600</v>
      </c>
      <c r="K223" s="10" t="str">
        <f aca="false">IF(G223&lt;0.2,"0-19%",IF(G223&lt;0.4,"20-39%",IF(G223&lt;0.6,"40-59%",IF(G223&lt;0.8,"60-79%","80%+"))))</f>
        <v>60-79%</v>
      </c>
      <c r="L223" s="10" t="str">
        <f aca="false">IF(H223="","No rating",IF(H223&lt;3.5,"Below 3.5",IF(H223&lt;4,"3.5-3.9",IF(H223&lt;4.5,"4.0-4.4","4.5+"))))</f>
        <v>3.5-3.9</v>
      </c>
    </row>
    <row r="224" customFormat="false" ht="15" hidden="false" customHeight="false" outlineLevel="0" collapsed="false">
      <c r="A224" s="10" t="s">
        <v>469</v>
      </c>
      <c r="B224" s="10" t="s">
        <v>470</v>
      </c>
      <c r="C224" s="10" t="s">
        <v>48</v>
      </c>
      <c r="D224" s="10" t="s">
        <v>49</v>
      </c>
      <c r="E224" s="11" t="n">
        <v>799</v>
      </c>
      <c r="F224" s="11" t="n">
        <v>399</v>
      </c>
      <c r="G224" s="12" t="n">
        <v>0.5</v>
      </c>
      <c r="H224" s="13" t="n">
        <v>4.1</v>
      </c>
      <c r="I224" s="11" t="n">
        <v>1161</v>
      </c>
      <c r="J224" s="11" t="n">
        <f aca="false">E224-F224</f>
        <v>400</v>
      </c>
      <c r="K224" s="10" t="str">
        <f aca="false">IF(G224&lt;0.2,"0-19%",IF(G224&lt;0.4,"20-39%",IF(G224&lt;0.6,"40-59%",IF(G224&lt;0.8,"60-79%","80%+"))))</f>
        <v>40-59%</v>
      </c>
      <c r="L224" s="10" t="str">
        <f aca="false">IF(H224="","No rating",IF(H224&lt;3.5,"Below 3.5",IF(H224&lt;4,"3.5-3.9",IF(H224&lt;4.5,"4.0-4.4","4.5+"))))</f>
        <v>4.0-4.4</v>
      </c>
    </row>
    <row r="225" customFormat="false" ht="15" hidden="false" customHeight="false" outlineLevel="0" collapsed="false">
      <c r="A225" s="10" t="s">
        <v>471</v>
      </c>
      <c r="B225" s="10" t="s">
        <v>472</v>
      </c>
      <c r="C225" s="10" t="s">
        <v>21</v>
      </c>
      <c r="D225" s="10" t="s">
        <v>22</v>
      </c>
      <c r="E225" s="11" t="n">
        <v>499</v>
      </c>
      <c r="F225" s="11" t="n">
        <v>249</v>
      </c>
      <c r="G225" s="12" t="n">
        <v>0.5</v>
      </c>
      <c r="H225" s="13" t="n">
        <v>4.1</v>
      </c>
      <c r="I225" s="11" t="n">
        <v>1508</v>
      </c>
      <c r="J225" s="11" t="n">
        <f aca="false">E225-F225</f>
        <v>250</v>
      </c>
      <c r="K225" s="10" t="str">
        <f aca="false">IF(G225&lt;0.2,"0-19%",IF(G225&lt;0.4,"20-39%",IF(G225&lt;0.6,"40-59%",IF(G225&lt;0.8,"60-79%","80%+"))))</f>
        <v>40-59%</v>
      </c>
      <c r="L225" s="10" t="str">
        <f aca="false">IF(H225="","No rating",IF(H225&lt;3.5,"Below 3.5",IF(H225&lt;4,"3.5-3.9",IF(H225&lt;4.5,"4.0-4.4","4.5+"))))</f>
        <v>4.0-4.4</v>
      </c>
    </row>
    <row r="226" customFormat="false" ht="15" hidden="false" customHeight="false" outlineLevel="0" collapsed="false">
      <c r="A226" s="10" t="s">
        <v>473</v>
      </c>
      <c r="B226" s="10" t="s">
        <v>474</v>
      </c>
      <c r="C226" s="10" t="s">
        <v>48</v>
      </c>
      <c r="D226" s="10" t="s">
        <v>49</v>
      </c>
      <c r="E226" s="11" t="n">
        <v>2299</v>
      </c>
      <c r="F226" s="11" t="n">
        <v>1249</v>
      </c>
      <c r="G226" s="12" t="n">
        <v>0.46</v>
      </c>
      <c r="H226" s="13" t="n">
        <v>4.3</v>
      </c>
      <c r="I226" s="11" t="n">
        <v>7636</v>
      </c>
      <c r="J226" s="11" t="n">
        <f aca="false">E226-F226</f>
        <v>1050</v>
      </c>
      <c r="K226" s="10" t="str">
        <f aca="false">IF(G226&lt;0.2,"0-19%",IF(G226&lt;0.4,"20-39%",IF(G226&lt;0.6,"40-59%",IF(G226&lt;0.8,"60-79%","80%+"))))</f>
        <v>40-59%</v>
      </c>
      <c r="L226" s="10" t="str">
        <f aca="false">IF(H226="","No rating",IF(H226&lt;3.5,"Below 3.5",IF(H226&lt;4,"3.5-3.9",IF(H226&lt;4.5,"4.0-4.4","4.5+"))))</f>
        <v>4.0-4.4</v>
      </c>
    </row>
    <row r="227" customFormat="false" ht="15" hidden="false" customHeight="false" outlineLevel="0" collapsed="false">
      <c r="A227" s="10" t="s">
        <v>475</v>
      </c>
      <c r="B227" s="10" t="s">
        <v>476</v>
      </c>
      <c r="C227" s="10" t="s">
        <v>48</v>
      </c>
      <c r="D227" s="10" t="s">
        <v>49</v>
      </c>
      <c r="E227" s="11" t="n">
        <v>499</v>
      </c>
      <c r="F227" s="11" t="n">
        <v>213</v>
      </c>
      <c r="G227" s="12" t="n">
        <v>0.57</v>
      </c>
      <c r="H227" s="13" t="n">
        <v>3.7</v>
      </c>
      <c r="I227" s="11" t="n">
        <v>246</v>
      </c>
      <c r="J227" s="11" t="n">
        <f aca="false">E227-F227</f>
        <v>286</v>
      </c>
      <c r="K227" s="10" t="str">
        <f aca="false">IF(G227&lt;0.2,"0-19%",IF(G227&lt;0.4,"20-39%",IF(G227&lt;0.6,"40-59%",IF(G227&lt;0.8,"60-79%","80%+"))))</f>
        <v>40-59%</v>
      </c>
      <c r="L227" s="10" t="str">
        <f aca="false">IF(H227="","No rating",IF(H227&lt;3.5,"Below 3.5",IF(H227&lt;4,"3.5-3.9",IF(H227&lt;4.5,"4.0-4.4","4.5+"))))</f>
        <v>3.5-3.9</v>
      </c>
    </row>
    <row r="228" customFormat="false" ht="15" hidden="false" customHeight="false" outlineLevel="0" collapsed="false">
      <c r="A228" s="10" t="s">
        <v>477</v>
      </c>
      <c r="B228" s="10" t="s">
        <v>478</v>
      </c>
      <c r="C228" s="10" t="s">
        <v>48</v>
      </c>
      <c r="D228" s="10" t="s">
        <v>49</v>
      </c>
      <c r="E228" s="11" t="n">
        <v>499</v>
      </c>
      <c r="F228" s="11" t="n">
        <v>209</v>
      </c>
      <c r="G228" s="12" t="n">
        <v>0.58</v>
      </c>
      <c r="H228" s="13" t="n">
        <v>4</v>
      </c>
      <c r="I228" s="11" t="n">
        <v>479</v>
      </c>
      <c r="J228" s="11" t="n">
        <f aca="false">E228-F228</f>
        <v>290</v>
      </c>
      <c r="K228" s="10" t="str">
        <f aca="false">IF(G228&lt;0.2,"0-19%",IF(G228&lt;0.4,"20-39%",IF(G228&lt;0.6,"40-59%",IF(G228&lt;0.8,"60-79%","80%+"))))</f>
        <v>40-59%</v>
      </c>
      <c r="L228" s="10" t="str">
        <f aca="false">IF(H228="","No rating",IF(H228&lt;3.5,"Below 3.5",IF(H228&lt;4,"3.5-3.9",IF(H228&lt;4.5,"4.0-4.4","4.5+"))))</f>
        <v>4.0-4.4</v>
      </c>
    </row>
    <row r="229" customFormat="false" ht="15" hidden="false" customHeight="false" outlineLevel="0" collapsed="false">
      <c r="A229" s="10" t="s">
        <v>479</v>
      </c>
      <c r="B229" s="10" t="s">
        <v>480</v>
      </c>
      <c r="C229" s="10" t="s">
        <v>48</v>
      </c>
      <c r="D229" s="10" t="s">
        <v>49</v>
      </c>
      <c r="E229" s="11" t="n">
        <v>4999</v>
      </c>
      <c r="F229" s="11" t="n">
        <v>598</v>
      </c>
      <c r="G229" s="12" t="n">
        <v>0.88</v>
      </c>
      <c r="H229" s="13" t="n">
        <v>4.2</v>
      </c>
      <c r="I229" s="11" t="n">
        <v>910</v>
      </c>
      <c r="J229" s="11" t="n">
        <f aca="false">E229-F229</f>
        <v>4401</v>
      </c>
      <c r="K229" s="10" t="str">
        <f aca="false">IF(G229&lt;0.2,"0-19%",IF(G229&lt;0.4,"20-39%",IF(G229&lt;0.6,"40-59%",IF(G229&lt;0.8,"60-79%","80%+"))))</f>
        <v>80%+</v>
      </c>
      <c r="L229" s="10" t="str">
        <f aca="false">IF(H229="","No rating",IF(H229&lt;3.5,"Below 3.5",IF(H229&lt;4,"3.5-3.9",IF(H229&lt;4.5,"4.0-4.4","4.5+"))))</f>
        <v>4.0-4.4</v>
      </c>
    </row>
    <row r="230" customFormat="false" ht="15" hidden="false" customHeight="false" outlineLevel="0" collapsed="false">
      <c r="A230" s="10" t="s">
        <v>481</v>
      </c>
      <c r="B230" s="10" t="s">
        <v>482</v>
      </c>
      <c r="C230" s="10" t="s">
        <v>21</v>
      </c>
      <c r="D230" s="10" t="s">
        <v>22</v>
      </c>
      <c r="E230" s="11" t="n">
        <v>1749</v>
      </c>
      <c r="F230" s="11" t="n">
        <v>799</v>
      </c>
      <c r="G230" s="12" t="n">
        <v>0.54</v>
      </c>
      <c r="H230" s="13" t="n">
        <v>4.1</v>
      </c>
      <c r="I230" s="11" t="n">
        <v>5626</v>
      </c>
      <c r="J230" s="11" t="n">
        <f aca="false">E230-F230</f>
        <v>950</v>
      </c>
      <c r="K230" s="10" t="str">
        <f aca="false">IF(G230&lt;0.2,"0-19%",IF(G230&lt;0.4,"20-39%",IF(G230&lt;0.6,"40-59%",IF(G230&lt;0.8,"60-79%","80%+"))))</f>
        <v>40-59%</v>
      </c>
      <c r="L230" s="10" t="str">
        <f aca="false">IF(H230="","No rating",IF(H230&lt;3.5,"Below 3.5",IF(H230&lt;4,"3.5-3.9",IF(H230&lt;4.5,"4.0-4.4","4.5+"))))</f>
        <v>4.0-4.4</v>
      </c>
    </row>
    <row r="231" customFormat="false" ht="15" hidden="false" customHeight="false" outlineLevel="0" collapsed="false">
      <c r="A231" s="10" t="s">
        <v>483</v>
      </c>
      <c r="B231" s="10" t="s">
        <v>484</v>
      </c>
      <c r="C231" s="10" t="s">
        <v>21</v>
      </c>
      <c r="D231" s="10" t="s">
        <v>22</v>
      </c>
      <c r="E231" s="11" t="n">
        <v>595</v>
      </c>
      <c r="F231" s="11" t="n">
        <v>159</v>
      </c>
      <c r="G231" s="12" t="n">
        <v>0.73</v>
      </c>
      <c r="H231" s="13" t="n">
        <v>4.3</v>
      </c>
      <c r="I231" s="11" t="n">
        <v>14184</v>
      </c>
      <c r="J231" s="11" t="n">
        <f aca="false">E231-F231</f>
        <v>436</v>
      </c>
      <c r="K231" s="10" t="str">
        <f aca="false">IF(G231&lt;0.2,"0-19%",IF(G231&lt;0.4,"20-39%",IF(G231&lt;0.6,"40-59%",IF(G231&lt;0.8,"60-79%","80%+"))))</f>
        <v>60-79%</v>
      </c>
      <c r="L231" s="10" t="str">
        <f aca="false">IF(H231="","No rating",IF(H231&lt;3.5,"Below 3.5",IF(H231&lt;4,"3.5-3.9",IF(H231&lt;4.5,"4.0-4.4","4.5+"))))</f>
        <v>4.0-4.4</v>
      </c>
    </row>
    <row r="232" customFormat="false" ht="15" hidden="false" customHeight="false" outlineLevel="0" collapsed="false">
      <c r="A232" s="10" t="s">
        <v>485</v>
      </c>
      <c r="B232" s="10" t="s">
        <v>486</v>
      </c>
      <c r="C232" s="10" t="s">
        <v>21</v>
      </c>
      <c r="D232" s="10" t="s">
        <v>22</v>
      </c>
      <c r="E232" s="11" t="n">
        <v>1100</v>
      </c>
      <c r="F232" s="11" t="n">
        <v>499</v>
      </c>
      <c r="G232" s="12" t="n">
        <v>0.55</v>
      </c>
      <c r="H232" s="13" t="n">
        <v>4.4</v>
      </c>
      <c r="I232" s="11" t="n">
        <v>25177</v>
      </c>
      <c r="J232" s="11" t="n">
        <f aca="false">E232-F232</f>
        <v>601</v>
      </c>
      <c r="K232" s="10" t="str">
        <f aca="false">IF(G232&lt;0.2,"0-19%",IF(G232&lt;0.4,"20-39%",IF(G232&lt;0.6,"40-59%",IF(G232&lt;0.8,"60-79%","80%+"))))</f>
        <v>40-59%</v>
      </c>
      <c r="L232" s="10" t="str">
        <f aca="false">IF(H232="","No rating",IF(H232&lt;3.5,"Below 3.5",IF(H232&lt;4,"3.5-3.9",IF(H232&lt;4.5,"4.0-4.4","4.5+"))))</f>
        <v>4.0-4.4</v>
      </c>
    </row>
    <row r="233" customFormat="false" ht="15" hidden="false" customHeight="false" outlineLevel="0" collapsed="false">
      <c r="A233" s="10" t="s">
        <v>487</v>
      </c>
      <c r="B233" s="10" t="s">
        <v>488</v>
      </c>
      <c r="C233" s="10" t="s">
        <v>48</v>
      </c>
      <c r="D233" s="10" t="s">
        <v>49</v>
      </c>
      <c r="E233" s="11" t="n">
        <v>49999</v>
      </c>
      <c r="F233" s="11" t="n">
        <v>31999</v>
      </c>
      <c r="G233" s="12" t="n">
        <v>0.36</v>
      </c>
      <c r="H233" s="13" t="n">
        <v>4.3</v>
      </c>
      <c r="I233" s="11" t="n">
        <v>21252</v>
      </c>
      <c r="J233" s="11" t="n">
        <f aca="false">E233-F233</f>
        <v>18000</v>
      </c>
      <c r="K233" s="10" t="str">
        <f aca="false">IF(G233&lt;0.2,"0-19%",IF(G233&lt;0.4,"20-39%",IF(G233&lt;0.6,"40-59%",IF(G233&lt;0.8,"60-79%","80%+"))))</f>
        <v>20-39%</v>
      </c>
      <c r="L233" s="10" t="str">
        <f aca="false">IF(H233="","No rating",IF(H233&lt;3.5,"Below 3.5",IF(H233&lt;4,"3.5-3.9",IF(H233&lt;4.5,"4.0-4.4","4.5+"))))</f>
        <v>4.0-4.4</v>
      </c>
    </row>
    <row r="234" customFormat="false" ht="15" hidden="false" customHeight="false" outlineLevel="0" collapsed="false">
      <c r="A234" s="10" t="s">
        <v>489</v>
      </c>
      <c r="B234" s="10" t="s">
        <v>490</v>
      </c>
      <c r="C234" s="10" t="s">
        <v>48</v>
      </c>
      <c r="D234" s="10" t="s">
        <v>49</v>
      </c>
      <c r="E234" s="11" t="n">
        <v>56790</v>
      </c>
      <c r="F234" s="11" t="n">
        <v>32990</v>
      </c>
      <c r="G234" s="12" t="n">
        <v>0.42</v>
      </c>
      <c r="H234" s="13" t="n">
        <v>4.3</v>
      </c>
      <c r="I234" s="11" t="n">
        <v>567</v>
      </c>
      <c r="J234" s="11" t="n">
        <f aca="false">E234-F234</f>
        <v>23800</v>
      </c>
      <c r="K234" s="10" t="str">
        <f aca="false">IF(G234&lt;0.2,"0-19%",IF(G234&lt;0.4,"20-39%",IF(G234&lt;0.6,"40-59%",IF(G234&lt;0.8,"60-79%","80%+"))))</f>
        <v>40-59%</v>
      </c>
      <c r="L234" s="10" t="str">
        <f aca="false">IF(H234="","No rating",IF(H234&lt;3.5,"Below 3.5",IF(H234&lt;4,"3.5-3.9",IF(H234&lt;4.5,"4.0-4.4","4.5+"))))</f>
        <v>4.0-4.4</v>
      </c>
    </row>
    <row r="235" customFormat="false" ht="15" hidden="false" customHeight="false" outlineLevel="0" collapsed="false">
      <c r="A235" s="10" t="s">
        <v>491</v>
      </c>
      <c r="B235" s="10" t="s">
        <v>492</v>
      </c>
      <c r="C235" s="10" t="s">
        <v>48</v>
      </c>
      <c r="D235" s="10" t="s">
        <v>49</v>
      </c>
      <c r="E235" s="11" t="n">
        <v>1199</v>
      </c>
      <c r="F235" s="11" t="n">
        <v>299</v>
      </c>
      <c r="G235" s="12" t="n">
        <v>0.75</v>
      </c>
      <c r="H235" s="13" t="n">
        <v>3.5</v>
      </c>
      <c r="I235" s="11" t="n">
        <v>466</v>
      </c>
      <c r="J235" s="11" t="n">
        <f aca="false">E235-F235</f>
        <v>900</v>
      </c>
      <c r="K235" s="10" t="str">
        <f aca="false">IF(G235&lt;0.2,"0-19%",IF(G235&lt;0.4,"20-39%",IF(G235&lt;0.6,"40-59%",IF(G235&lt;0.8,"60-79%","80%+"))))</f>
        <v>60-79%</v>
      </c>
      <c r="L235" s="10" t="str">
        <f aca="false">IF(H235="","No rating",IF(H235&lt;3.5,"Below 3.5",IF(H235&lt;4,"3.5-3.9",IF(H235&lt;4.5,"4.0-4.4","4.5+"))))</f>
        <v>3.5-3.9</v>
      </c>
    </row>
    <row r="236" customFormat="false" ht="15" hidden="false" customHeight="false" outlineLevel="0" collapsed="false">
      <c r="A236" s="10" t="s">
        <v>493</v>
      </c>
      <c r="B236" s="10" t="s">
        <v>494</v>
      </c>
      <c r="C236" s="10" t="s">
        <v>21</v>
      </c>
      <c r="D236" s="10" t="s">
        <v>22</v>
      </c>
      <c r="E236" s="11" t="n">
        <v>549</v>
      </c>
      <c r="F236" s="11" t="n">
        <v>128.31</v>
      </c>
      <c r="G236" s="12" t="n">
        <v>0.77</v>
      </c>
      <c r="H236" s="13" t="n">
        <v>3.9</v>
      </c>
      <c r="I236" s="11" t="n">
        <v>61</v>
      </c>
      <c r="J236" s="11" t="n">
        <f aca="false">E236-F236</f>
        <v>420.69</v>
      </c>
      <c r="K236" s="10" t="str">
        <f aca="false">IF(G236&lt;0.2,"0-19%",IF(G236&lt;0.4,"20-39%",IF(G236&lt;0.6,"40-59%",IF(G236&lt;0.8,"60-79%","80%+"))))</f>
        <v>60-79%</v>
      </c>
      <c r="L236" s="10" t="str">
        <f aca="false">IF(H236="","No rating",IF(H236&lt;3.5,"Below 3.5",IF(H236&lt;4,"3.5-3.9",IF(H236&lt;4.5,"4.0-4.4","4.5+"))))</f>
        <v>3.5-3.9</v>
      </c>
    </row>
    <row r="237" customFormat="false" ht="15" hidden="false" customHeight="false" outlineLevel="0" collapsed="false">
      <c r="A237" s="10" t="s">
        <v>495</v>
      </c>
      <c r="B237" s="10" t="s">
        <v>496</v>
      </c>
      <c r="C237" s="10" t="s">
        <v>21</v>
      </c>
      <c r="D237" s="10" t="s">
        <v>22</v>
      </c>
      <c r="E237" s="11" t="n">
        <v>849</v>
      </c>
      <c r="F237" s="11" t="n">
        <v>599</v>
      </c>
      <c r="G237" s="12" t="n">
        <v>0.29</v>
      </c>
      <c r="H237" s="13" t="n">
        <v>4.5</v>
      </c>
      <c r="I237" s="11" t="n">
        <v>474</v>
      </c>
      <c r="J237" s="11" t="n">
        <f aca="false">E237-F237</f>
        <v>250</v>
      </c>
      <c r="K237" s="10" t="str">
        <f aca="false">IF(G237&lt;0.2,"0-19%",IF(G237&lt;0.4,"20-39%",IF(G237&lt;0.6,"40-59%",IF(G237&lt;0.8,"60-79%","80%+"))))</f>
        <v>20-39%</v>
      </c>
      <c r="L237" s="10" t="str">
        <f aca="false">IF(H237="","No rating",IF(H237&lt;3.5,"Below 3.5",IF(H237&lt;4,"3.5-3.9",IF(H237&lt;4.5,"4.0-4.4","4.5+"))))</f>
        <v>4.5+</v>
      </c>
    </row>
    <row r="238" customFormat="false" ht="15" hidden="false" customHeight="false" outlineLevel="0" collapsed="false">
      <c r="A238" s="10" t="s">
        <v>497</v>
      </c>
      <c r="B238" s="10" t="s">
        <v>498</v>
      </c>
      <c r="C238" s="10" t="s">
        <v>48</v>
      </c>
      <c r="D238" s="10" t="s">
        <v>49</v>
      </c>
      <c r="E238" s="11" t="n">
        <v>899</v>
      </c>
      <c r="F238" s="11" t="n">
        <v>399</v>
      </c>
      <c r="G238" s="12" t="n">
        <v>0.56</v>
      </c>
      <c r="H238" s="13" t="n">
        <v>3.4</v>
      </c>
      <c r="I238" s="11" t="n">
        <v>431</v>
      </c>
      <c r="J238" s="11" t="n">
        <f aca="false">E238-F238</f>
        <v>500</v>
      </c>
      <c r="K238" s="10" t="str">
        <f aca="false">IF(G238&lt;0.2,"0-19%",IF(G238&lt;0.4,"20-39%",IF(G238&lt;0.6,"40-59%",IF(G238&lt;0.8,"60-79%","80%+"))))</f>
        <v>40-59%</v>
      </c>
      <c r="L238" s="10" t="str">
        <f aca="false">IF(H238="","No rating",IF(H238&lt;3.5,"Below 3.5",IF(H238&lt;4,"3.5-3.9",IF(H238&lt;4.5,"4.0-4.4","4.5+"))))</f>
        <v>Below 3.5</v>
      </c>
    </row>
    <row r="239" customFormat="false" ht="15" hidden="false" customHeight="false" outlineLevel="0" collapsed="false">
      <c r="A239" s="10" t="s">
        <v>499</v>
      </c>
      <c r="B239" s="10" t="s">
        <v>500</v>
      </c>
      <c r="C239" s="10" t="s">
        <v>21</v>
      </c>
      <c r="D239" s="10" t="s">
        <v>22</v>
      </c>
      <c r="E239" s="11" t="n">
        <v>1099</v>
      </c>
      <c r="F239" s="11" t="n">
        <v>449</v>
      </c>
      <c r="G239" s="12" t="n">
        <v>0.59</v>
      </c>
      <c r="H239" s="13" t="n">
        <v>4</v>
      </c>
      <c r="I239" s="11" t="n">
        <v>242</v>
      </c>
      <c r="J239" s="11" t="n">
        <f aca="false">E239-F239</f>
        <v>650</v>
      </c>
      <c r="K239" s="10" t="str">
        <f aca="false">IF(G239&lt;0.2,"0-19%",IF(G239&lt;0.4,"20-39%",IF(G239&lt;0.6,"40-59%",IF(G239&lt;0.8,"60-79%","80%+"))))</f>
        <v>40-59%</v>
      </c>
      <c r="L239" s="10" t="str">
        <f aca="false">IF(H239="","No rating",IF(H239&lt;3.5,"Below 3.5",IF(H239&lt;4,"3.5-3.9",IF(H239&lt;4.5,"4.0-4.4","4.5+"))))</f>
        <v>4.0-4.4</v>
      </c>
    </row>
    <row r="240" customFormat="false" ht="15" hidden="false" customHeight="false" outlineLevel="0" collapsed="false">
      <c r="A240" s="10" t="s">
        <v>501</v>
      </c>
      <c r="B240" s="10" t="s">
        <v>502</v>
      </c>
      <c r="C240" s="10" t="s">
        <v>21</v>
      </c>
      <c r="D240" s="10" t="s">
        <v>22</v>
      </c>
      <c r="E240" s="11" t="n">
        <v>799</v>
      </c>
      <c r="F240" s="11" t="n">
        <v>254</v>
      </c>
      <c r="G240" s="12" t="n">
        <v>0.68</v>
      </c>
      <c r="H240" s="13" t="n">
        <v>4</v>
      </c>
      <c r="I240" s="11" t="n">
        <v>2905</v>
      </c>
      <c r="J240" s="11" t="n">
        <f aca="false">E240-F240</f>
        <v>545</v>
      </c>
      <c r="K240" s="10" t="str">
        <f aca="false">IF(G240&lt;0.2,"0-19%",IF(G240&lt;0.4,"20-39%",IF(G240&lt;0.6,"40-59%",IF(G240&lt;0.8,"60-79%","80%+"))))</f>
        <v>60-79%</v>
      </c>
      <c r="L240" s="10" t="str">
        <f aca="false">IF(H240="","No rating",IF(H240&lt;3.5,"Below 3.5",IF(H240&lt;4,"3.5-3.9",IF(H240&lt;4.5,"4.0-4.4","4.5+"))))</f>
        <v>4.0-4.4</v>
      </c>
    </row>
    <row r="241" customFormat="false" ht="15" hidden="false" customHeight="false" outlineLevel="0" collapsed="false">
      <c r="A241" s="10" t="s">
        <v>503</v>
      </c>
      <c r="B241" s="10" t="s">
        <v>504</v>
      </c>
      <c r="C241" s="10" t="s">
        <v>48</v>
      </c>
      <c r="D241" s="10" t="s">
        <v>49</v>
      </c>
      <c r="E241" s="11" t="n">
        <v>795</v>
      </c>
      <c r="F241" s="11" t="n">
        <v>399</v>
      </c>
      <c r="G241" s="12" t="n">
        <v>0.5</v>
      </c>
      <c r="H241" s="13" t="n">
        <v>4.4</v>
      </c>
      <c r="I241" s="11" t="n">
        <v>12091</v>
      </c>
      <c r="J241" s="11" t="n">
        <f aca="false">E241-F241</f>
        <v>396</v>
      </c>
      <c r="K241" s="10" t="str">
        <f aca="false">IF(G241&lt;0.2,"0-19%",IF(G241&lt;0.4,"20-39%",IF(G241&lt;0.6,"40-59%",IF(G241&lt;0.8,"60-79%","80%+"))))</f>
        <v>40-59%</v>
      </c>
      <c r="L241" s="10" t="str">
        <f aca="false">IF(H241="","No rating",IF(H241&lt;3.5,"Below 3.5",IF(H241&lt;4,"3.5-3.9",IF(H241&lt;4.5,"4.0-4.4","4.5+"))))</f>
        <v>4.0-4.4</v>
      </c>
    </row>
    <row r="242" customFormat="false" ht="15" hidden="false" customHeight="false" outlineLevel="0" collapsed="false">
      <c r="A242" s="10" t="s">
        <v>505</v>
      </c>
      <c r="B242" s="10" t="s">
        <v>506</v>
      </c>
      <c r="C242" s="10" t="s">
        <v>21</v>
      </c>
      <c r="D242" s="10" t="s">
        <v>22</v>
      </c>
      <c r="E242" s="11" t="n">
        <v>399</v>
      </c>
      <c r="F242" s="11" t="n">
        <v>179</v>
      </c>
      <c r="G242" s="12" t="n">
        <v>0.55</v>
      </c>
      <c r="H242" s="13" t="n">
        <v>4</v>
      </c>
      <c r="I242" s="11" t="n">
        <v>1423</v>
      </c>
      <c r="J242" s="11" t="n">
        <f aca="false">E242-F242</f>
        <v>220</v>
      </c>
      <c r="K242" s="10" t="str">
        <f aca="false">IF(G242&lt;0.2,"0-19%",IF(G242&lt;0.4,"20-39%",IF(G242&lt;0.6,"40-59%",IF(G242&lt;0.8,"60-79%","80%+"))))</f>
        <v>40-59%</v>
      </c>
      <c r="L242" s="10" t="str">
        <f aca="false">IF(H242="","No rating",IF(H242&lt;3.5,"Below 3.5",IF(H242&lt;4,"3.5-3.9",IF(H242&lt;4.5,"4.0-4.4","4.5+"))))</f>
        <v>4.0-4.4</v>
      </c>
    </row>
    <row r="243" customFormat="false" ht="15" hidden="false" customHeight="false" outlineLevel="0" collapsed="false">
      <c r="A243" s="10" t="s">
        <v>507</v>
      </c>
      <c r="B243" s="10" t="s">
        <v>508</v>
      </c>
      <c r="C243" s="10" t="s">
        <v>21</v>
      </c>
      <c r="D243" s="10" t="s">
        <v>22</v>
      </c>
      <c r="E243" s="11" t="n">
        <v>999</v>
      </c>
      <c r="F243" s="11" t="n">
        <v>339</v>
      </c>
      <c r="G243" s="12" t="n">
        <v>0.66</v>
      </c>
      <c r="H243" s="13" t="n">
        <v>4.3</v>
      </c>
      <c r="I243" s="11" t="n">
        <v>6255</v>
      </c>
      <c r="J243" s="11" t="n">
        <f aca="false">E243-F243</f>
        <v>660</v>
      </c>
      <c r="K243" s="10" t="str">
        <f aca="false">IF(G243&lt;0.2,"0-19%",IF(G243&lt;0.4,"20-39%",IF(G243&lt;0.6,"40-59%",IF(G243&lt;0.8,"60-79%","80%+"))))</f>
        <v>60-79%</v>
      </c>
      <c r="L243" s="10" t="str">
        <f aca="false">IF(H243="","No rating",IF(H243&lt;3.5,"Below 3.5",IF(H243&lt;4,"3.5-3.9",IF(H243&lt;4.5,"4.0-4.4","4.5+"))))</f>
        <v>4.0-4.4</v>
      </c>
    </row>
    <row r="244" customFormat="false" ht="15" hidden="false" customHeight="false" outlineLevel="0" collapsed="false">
      <c r="A244" s="10" t="s">
        <v>509</v>
      </c>
      <c r="B244" s="10" t="s">
        <v>510</v>
      </c>
      <c r="C244" s="10" t="s">
        <v>48</v>
      </c>
      <c r="D244" s="10" t="s">
        <v>49</v>
      </c>
      <c r="E244" s="11" t="n">
        <v>999</v>
      </c>
      <c r="F244" s="11" t="n">
        <v>399</v>
      </c>
      <c r="G244" s="12" t="n">
        <v>0.6</v>
      </c>
      <c r="H244" s="13" t="n">
        <v>4</v>
      </c>
      <c r="I244" s="11" t="n">
        <v>1236</v>
      </c>
      <c r="J244" s="11" t="n">
        <f aca="false">E244-F244</f>
        <v>600</v>
      </c>
      <c r="K244" s="10" t="str">
        <f aca="false">IF(G244&lt;0.2,"0-19%",IF(G244&lt;0.4,"20-39%",IF(G244&lt;0.6,"40-59%",IF(G244&lt;0.8,"60-79%","80%+"))))</f>
        <v>60-79%</v>
      </c>
      <c r="L244" s="10" t="str">
        <f aca="false">IF(H244="","No rating",IF(H244&lt;3.5,"Below 3.5",IF(H244&lt;4,"3.5-3.9",IF(H244&lt;4.5,"4.0-4.4","4.5+"))))</f>
        <v>4.0-4.4</v>
      </c>
    </row>
    <row r="245" customFormat="false" ht="15" hidden="false" customHeight="false" outlineLevel="0" collapsed="false">
      <c r="A245" s="10" t="s">
        <v>511</v>
      </c>
      <c r="B245" s="10" t="s">
        <v>512</v>
      </c>
      <c r="C245" s="10" t="s">
        <v>48</v>
      </c>
      <c r="D245" s="10" t="s">
        <v>49</v>
      </c>
      <c r="E245" s="11" t="n">
        <v>399</v>
      </c>
      <c r="F245" s="11" t="n">
        <v>199</v>
      </c>
      <c r="G245" s="12" t="n">
        <v>0.5</v>
      </c>
      <c r="H245" s="13" t="n">
        <v>4.2</v>
      </c>
      <c r="I245" s="11" t="n">
        <v>1335</v>
      </c>
      <c r="J245" s="11" t="n">
        <f aca="false">E245-F245</f>
        <v>200</v>
      </c>
      <c r="K245" s="10" t="str">
        <f aca="false">IF(G245&lt;0.2,"0-19%",IF(G245&lt;0.4,"20-39%",IF(G245&lt;0.6,"40-59%",IF(G245&lt;0.8,"60-79%","80%+"))))</f>
        <v>40-59%</v>
      </c>
      <c r="L245" s="10" t="str">
        <f aca="false">IF(H245="","No rating",IF(H245&lt;3.5,"Below 3.5",IF(H245&lt;4,"3.5-3.9",IF(H245&lt;4.5,"4.0-4.4","4.5+"))))</f>
        <v>4.0-4.4</v>
      </c>
    </row>
    <row r="246" customFormat="false" ht="15" hidden="false" customHeight="false" outlineLevel="0" collapsed="false">
      <c r="A246" s="10" t="s">
        <v>513</v>
      </c>
      <c r="B246" s="10" t="s">
        <v>514</v>
      </c>
      <c r="C246" s="10" t="s">
        <v>48</v>
      </c>
      <c r="D246" s="10" t="s">
        <v>49</v>
      </c>
      <c r="E246" s="11" t="n">
        <v>1999</v>
      </c>
      <c r="F246" s="11" t="n">
        <v>349</v>
      </c>
      <c r="G246" s="12" t="n">
        <v>0.83</v>
      </c>
      <c r="H246" s="13" t="n">
        <v>3.8</v>
      </c>
      <c r="I246" s="11" t="n">
        <v>197</v>
      </c>
      <c r="J246" s="11" t="n">
        <f aca="false">E246-F246</f>
        <v>1650</v>
      </c>
      <c r="K246" s="10" t="str">
        <f aca="false">IF(G246&lt;0.2,"0-19%",IF(G246&lt;0.4,"20-39%",IF(G246&lt;0.6,"40-59%",IF(G246&lt;0.8,"60-79%","80%+"))))</f>
        <v>80%+</v>
      </c>
      <c r="L246" s="10" t="str">
        <f aca="false">IF(H246="","No rating",IF(H246&lt;3.5,"Below 3.5",IF(H246&lt;4,"3.5-3.9",IF(H246&lt;4.5,"4.0-4.4","4.5+"))))</f>
        <v>3.5-3.9</v>
      </c>
    </row>
    <row r="247" customFormat="false" ht="15" hidden="false" customHeight="false" outlineLevel="0" collapsed="false">
      <c r="A247" s="10" t="s">
        <v>515</v>
      </c>
      <c r="B247" s="10" t="s">
        <v>516</v>
      </c>
      <c r="C247" s="10" t="s">
        <v>21</v>
      </c>
      <c r="D247" s="10" t="s">
        <v>22</v>
      </c>
      <c r="E247" s="11" t="n">
        <v>798</v>
      </c>
      <c r="F247" s="11" t="n">
        <v>299</v>
      </c>
      <c r="G247" s="12" t="n">
        <v>0.63</v>
      </c>
      <c r="H247" s="13" t="n">
        <v>4.4</v>
      </c>
      <c r="I247" s="11" t="n">
        <v>28791</v>
      </c>
      <c r="J247" s="11" t="n">
        <f aca="false">E247-F247</f>
        <v>499</v>
      </c>
      <c r="K247" s="10" t="str">
        <f aca="false">IF(G247&lt;0.2,"0-19%",IF(G247&lt;0.4,"20-39%",IF(G247&lt;0.6,"40-59%",IF(G247&lt;0.8,"60-79%","80%+"))))</f>
        <v>60-79%</v>
      </c>
      <c r="L247" s="10" t="str">
        <f aca="false">IF(H247="","No rating",IF(H247&lt;3.5,"Below 3.5",IF(H247&lt;4,"3.5-3.9",IF(H247&lt;4.5,"4.0-4.4","4.5+"))))</f>
        <v>4.0-4.4</v>
      </c>
    </row>
    <row r="248" customFormat="false" ht="15" hidden="false" customHeight="false" outlineLevel="0" collapsed="false">
      <c r="A248" s="10" t="s">
        <v>517</v>
      </c>
      <c r="B248" s="10" t="s">
        <v>518</v>
      </c>
      <c r="C248" s="10" t="s">
        <v>21</v>
      </c>
      <c r="D248" s="10" t="s">
        <v>22</v>
      </c>
      <c r="E248" s="11" t="n">
        <v>800</v>
      </c>
      <c r="F248" s="11" t="n">
        <v>89</v>
      </c>
      <c r="G248" s="12" t="n">
        <v>0.89</v>
      </c>
      <c r="H248" s="13" t="n">
        <v>3.9</v>
      </c>
      <c r="I248" s="11" t="n">
        <v>1075</v>
      </c>
      <c r="J248" s="11" t="n">
        <f aca="false">E248-F248</f>
        <v>711</v>
      </c>
      <c r="K248" s="10" t="str">
        <f aca="false">IF(G248&lt;0.2,"0-19%",IF(G248&lt;0.4,"20-39%",IF(G248&lt;0.6,"40-59%",IF(G248&lt;0.8,"60-79%","80%+"))))</f>
        <v>80%+</v>
      </c>
      <c r="L248" s="10" t="str">
        <f aca="false">IF(H248="","No rating",IF(H248&lt;3.5,"Below 3.5",IF(H248&lt;4,"3.5-3.9",IF(H248&lt;4.5,"4.0-4.4","4.5+"))))</f>
        <v>3.5-3.9</v>
      </c>
    </row>
    <row r="249" customFormat="false" ht="15" hidden="false" customHeight="false" outlineLevel="0" collapsed="false">
      <c r="A249" s="10" t="s">
        <v>519</v>
      </c>
      <c r="B249" s="10" t="s">
        <v>520</v>
      </c>
      <c r="C249" s="10" t="s">
        <v>21</v>
      </c>
      <c r="D249" s="10" t="s">
        <v>22</v>
      </c>
      <c r="E249" s="11" t="n">
        <v>995</v>
      </c>
      <c r="F249" s="11" t="n">
        <v>549</v>
      </c>
      <c r="G249" s="12" t="n">
        <v>0.45</v>
      </c>
      <c r="H249" s="13" t="n">
        <v>4.2</v>
      </c>
      <c r="I249" s="11" t="n">
        <v>29746</v>
      </c>
      <c r="J249" s="11" t="n">
        <f aca="false">E249-F249</f>
        <v>446</v>
      </c>
      <c r="K249" s="10" t="str">
        <f aca="false">IF(G249&lt;0.2,"0-19%",IF(G249&lt;0.4,"20-39%",IF(G249&lt;0.6,"40-59%",IF(G249&lt;0.8,"60-79%","80%+"))))</f>
        <v>40-59%</v>
      </c>
      <c r="L249" s="10" t="str">
        <f aca="false">IF(H249="","No rating",IF(H249&lt;3.5,"Below 3.5",IF(H249&lt;4,"3.5-3.9",IF(H249&lt;4.5,"4.0-4.4","4.5+"))))</f>
        <v>4.0-4.4</v>
      </c>
    </row>
    <row r="250" customFormat="false" ht="15" hidden="false" customHeight="false" outlineLevel="0" collapsed="false">
      <c r="A250" s="10" t="s">
        <v>521</v>
      </c>
      <c r="B250" s="10" t="s">
        <v>522</v>
      </c>
      <c r="C250" s="10" t="s">
        <v>21</v>
      </c>
      <c r="D250" s="10" t="s">
        <v>22</v>
      </c>
      <c r="E250" s="11" t="n">
        <v>1000</v>
      </c>
      <c r="F250" s="11" t="n">
        <v>129</v>
      </c>
      <c r="G250" s="12" t="n">
        <v>0.87</v>
      </c>
      <c r="H250" s="13" t="n">
        <v>3.9</v>
      </c>
      <c r="I250" s="11" t="n">
        <v>295</v>
      </c>
      <c r="J250" s="11" t="n">
        <f aca="false">E250-F250</f>
        <v>871</v>
      </c>
      <c r="K250" s="10" t="str">
        <f aca="false">IF(G250&lt;0.2,"0-19%",IF(G250&lt;0.4,"20-39%",IF(G250&lt;0.6,"40-59%",IF(G250&lt;0.8,"60-79%","80%+"))))</f>
        <v>80%+</v>
      </c>
      <c r="L250" s="10" t="str">
        <f aca="false">IF(H250="","No rating",IF(H250&lt;3.5,"Below 3.5",IF(H250&lt;4,"3.5-3.9",IF(H250&lt;4.5,"4.0-4.4","4.5+"))))</f>
        <v>3.5-3.9</v>
      </c>
    </row>
    <row r="251" customFormat="false" ht="15" hidden="false" customHeight="false" outlineLevel="0" collapsed="false">
      <c r="A251" s="10" t="s">
        <v>523</v>
      </c>
      <c r="B251" s="10" t="s">
        <v>524</v>
      </c>
      <c r="C251" s="10" t="s">
        <v>48</v>
      </c>
      <c r="D251" s="10" t="s">
        <v>49</v>
      </c>
      <c r="E251" s="11" t="n">
        <v>139900</v>
      </c>
      <c r="F251" s="11" t="n">
        <v>77990</v>
      </c>
      <c r="G251" s="12" t="n">
        <v>0.44</v>
      </c>
      <c r="H251" s="13" t="n">
        <v>4.7</v>
      </c>
      <c r="I251" s="11" t="n">
        <v>5935</v>
      </c>
      <c r="J251" s="11" t="n">
        <f aca="false">E251-F251</f>
        <v>61910</v>
      </c>
      <c r="K251" s="10" t="str">
        <f aca="false">IF(G251&lt;0.2,"0-19%",IF(G251&lt;0.4,"20-39%",IF(G251&lt;0.6,"40-59%",IF(G251&lt;0.8,"60-79%","80%+"))))</f>
        <v>40-59%</v>
      </c>
      <c r="L251" s="10" t="str">
        <f aca="false">IF(H251="","No rating",IF(H251&lt;3.5,"Below 3.5",IF(H251&lt;4,"3.5-3.9",IF(H251&lt;4.5,"4.0-4.4","4.5+"))))</f>
        <v>4.5+</v>
      </c>
    </row>
    <row r="252" customFormat="false" ht="15" hidden="false" customHeight="false" outlineLevel="0" collapsed="false">
      <c r="A252" s="10" t="s">
        <v>525</v>
      </c>
      <c r="B252" s="10" t="s">
        <v>526</v>
      </c>
      <c r="C252" s="10" t="s">
        <v>48</v>
      </c>
      <c r="D252" s="10" t="s">
        <v>49</v>
      </c>
      <c r="E252" s="11" t="n">
        <v>799</v>
      </c>
      <c r="F252" s="11" t="n">
        <v>349</v>
      </c>
      <c r="G252" s="12" t="n">
        <v>0.56</v>
      </c>
      <c r="H252" s="13" t="n">
        <v>3.6</v>
      </c>
      <c r="I252" s="11" t="n">
        <v>323</v>
      </c>
      <c r="J252" s="11" t="n">
        <f aca="false">E252-F252</f>
        <v>450</v>
      </c>
      <c r="K252" s="10" t="str">
        <f aca="false">IF(G252&lt;0.2,"0-19%",IF(G252&lt;0.4,"20-39%",IF(G252&lt;0.6,"40-59%",IF(G252&lt;0.8,"60-79%","80%+"))))</f>
        <v>40-59%</v>
      </c>
      <c r="L252" s="10" t="str">
        <f aca="false">IF(H252="","No rating",IF(H252&lt;3.5,"Below 3.5",IF(H252&lt;4,"3.5-3.9",IF(H252&lt;4.5,"4.0-4.4","4.5+"))))</f>
        <v>3.5-3.9</v>
      </c>
    </row>
    <row r="253" customFormat="false" ht="15" hidden="false" customHeight="false" outlineLevel="0" collapsed="false">
      <c r="A253" s="10" t="s">
        <v>527</v>
      </c>
      <c r="B253" s="10" t="s">
        <v>528</v>
      </c>
      <c r="C253" s="10" t="s">
        <v>48</v>
      </c>
      <c r="D253" s="10" t="s">
        <v>49</v>
      </c>
      <c r="E253" s="11" t="n">
        <v>899</v>
      </c>
      <c r="F253" s="11" t="n">
        <v>499</v>
      </c>
      <c r="G253" s="12" t="n">
        <v>0.44</v>
      </c>
      <c r="H253" s="13" t="n">
        <v>3.7</v>
      </c>
      <c r="I253" s="11" t="n">
        <v>185</v>
      </c>
      <c r="J253" s="11" t="n">
        <f aca="false">E253-F253</f>
        <v>400</v>
      </c>
      <c r="K253" s="10" t="str">
        <f aca="false">IF(G253&lt;0.2,"0-19%",IF(G253&lt;0.4,"20-39%",IF(G253&lt;0.6,"40-59%",IF(G253&lt;0.8,"60-79%","80%+"))))</f>
        <v>40-59%</v>
      </c>
      <c r="L253" s="10" t="str">
        <f aca="false">IF(H253="","No rating",IF(H253&lt;3.5,"Below 3.5",IF(H253&lt;4,"3.5-3.9",IF(H253&lt;4.5,"4.0-4.4","4.5+"))))</f>
        <v>3.5-3.9</v>
      </c>
    </row>
    <row r="254" customFormat="false" ht="15" hidden="false" customHeight="false" outlineLevel="0" collapsed="false">
      <c r="A254" s="10" t="s">
        <v>529</v>
      </c>
      <c r="B254" s="10" t="s">
        <v>530</v>
      </c>
      <c r="C254" s="10" t="s">
        <v>21</v>
      </c>
      <c r="D254" s="10" t="s">
        <v>22</v>
      </c>
      <c r="E254" s="11" t="n">
        <v>799</v>
      </c>
      <c r="F254" s="11" t="n">
        <v>299</v>
      </c>
      <c r="G254" s="12" t="n">
        <v>0.63</v>
      </c>
      <c r="H254" s="13" t="n">
        <v>4.2</v>
      </c>
      <c r="I254" s="11" t="n">
        <v>2117</v>
      </c>
      <c r="J254" s="11" t="n">
        <f aca="false">E254-F254</f>
        <v>500</v>
      </c>
      <c r="K254" s="10" t="str">
        <f aca="false">IF(G254&lt;0.2,"0-19%",IF(G254&lt;0.4,"20-39%",IF(G254&lt;0.6,"40-59%",IF(G254&lt;0.8,"60-79%","80%+"))))</f>
        <v>60-79%</v>
      </c>
      <c r="L254" s="10" t="str">
        <f aca="false">IF(H254="","No rating",IF(H254&lt;3.5,"Below 3.5",IF(H254&lt;4,"3.5-3.9",IF(H254&lt;4.5,"4.0-4.4","4.5+"))))</f>
        <v>4.0-4.4</v>
      </c>
    </row>
    <row r="255" customFormat="false" ht="15" hidden="false" customHeight="false" outlineLevel="0" collapsed="false">
      <c r="A255" s="10" t="s">
        <v>531</v>
      </c>
      <c r="B255" s="10" t="s">
        <v>532</v>
      </c>
      <c r="C255" s="10" t="s">
        <v>21</v>
      </c>
      <c r="D255" s="10" t="s">
        <v>22</v>
      </c>
      <c r="E255" s="11" t="n">
        <v>599</v>
      </c>
      <c r="F255" s="11" t="n">
        <v>182</v>
      </c>
      <c r="G255" s="12" t="n">
        <v>0.7</v>
      </c>
      <c r="H255" s="13" t="n">
        <v>4</v>
      </c>
      <c r="I255" s="11" t="n">
        <v>9378</v>
      </c>
      <c r="J255" s="11" t="n">
        <f aca="false">E255-F255</f>
        <v>417</v>
      </c>
      <c r="K255" s="10" t="str">
        <f aca="false">IF(G255&lt;0.2,"0-19%",IF(G255&lt;0.4,"20-39%",IF(G255&lt;0.6,"40-59%",IF(G255&lt;0.8,"60-79%","80%+"))))</f>
        <v>60-79%</v>
      </c>
      <c r="L255" s="10" t="str">
        <f aca="false">IF(H255="","No rating",IF(H255&lt;3.5,"Below 3.5",IF(H255&lt;4,"3.5-3.9",IF(H255&lt;4.5,"4.0-4.4","4.5+"))))</f>
        <v>4.0-4.4</v>
      </c>
    </row>
    <row r="256" customFormat="false" ht="15" hidden="false" customHeight="false" outlineLevel="0" collapsed="false">
      <c r="A256" s="10" t="s">
        <v>533</v>
      </c>
      <c r="B256" s="10" t="s">
        <v>534</v>
      </c>
      <c r="C256" s="10" t="s">
        <v>48</v>
      </c>
      <c r="D256" s="10" t="s">
        <v>49</v>
      </c>
      <c r="E256" s="11" t="n">
        <v>399</v>
      </c>
      <c r="F256" s="11" t="n">
        <v>96</v>
      </c>
      <c r="G256" s="12" t="n">
        <v>0.76</v>
      </c>
      <c r="H256" s="13" t="n">
        <v>3.6</v>
      </c>
      <c r="I256" s="11" t="n">
        <v>1796</v>
      </c>
      <c r="J256" s="11" t="n">
        <f aca="false">E256-F256</f>
        <v>303</v>
      </c>
      <c r="K256" s="10" t="str">
        <f aca="false">IF(G256&lt;0.2,"0-19%",IF(G256&lt;0.4,"20-39%",IF(G256&lt;0.6,"40-59%",IF(G256&lt;0.8,"60-79%","80%+"))))</f>
        <v>60-79%</v>
      </c>
      <c r="L256" s="10" t="str">
        <f aca="false">IF(H256="","No rating",IF(H256&lt;3.5,"Below 3.5",IF(H256&lt;4,"3.5-3.9",IF(H256&lt;4.5,"4.0-4.4","4.5+"))))</f>
        <v>3.5-3.9</v>
      </c>
    </row>
    <row r="257" customFormat="false" ht="15" hidden="false" customHeight="false" outlineLevel="0" collapsed="false">
      <c r="A257" s="10" t="s">
        <v>535</v>
      </c>
      <c r="B257" s="10" t="s">
        <v>536</v>
      </c>
      <c r="C257" s="10" t="s">
        <v>48</v>
      </c>
      <c r="D257" s="10" t="s">
        <v>49</v>
      </c>
      <c r="E257" s="11" t="n">
        <v>85000</v>
      </c>
      <c r="F257" s="11" t="n">
        <v>54990</v>
      </c>
      <c r="G257" s="12" t="n">
        <v>0.35</v>
      </c>
      <c r="H257" s="13" t="n">
        <v>4.3</v>
      </c>
      <c r="I257" s="11" t="n">
        <v>3587</v>
      </c>
      <c r="J257" s="11" t="n">
        <f aca="false">E257-F257</f>
        <v>30010</v>
      </c>
      <c r="K257" s="10" t="str">
        <f aca="false">IF(G257&lt;0.2,"0-19%",IF(G257&lt;0.4,"20-39%",IF(G257&lt;0.6,"40-59%",IF(G257&lt;0.8,"60-79%","80%+"))))</f>
        <v>20-39%</v>
      </c>
      <c r="L257" s="10" t="str">
        <f aca="false">IF(H257="","No rating",IF(H257&lt;3.5,"Below 3.5",IF(H257&lt;4,"3.5-3.9",IF(H257&lt;4.5,"4.0-4.4","4.5+"))))</f>
        <v>4.0-4.4</v>
      </c>
    </row>
    <row r="258" customFormat="false" ht="15" hidden="false" customHeight="false" outlineLevel="0" collapsed="false">
      <c r="A258" s="10" t="s">
        <v>537</v>
      </c>
      <c r="B258" s="10" t="s">
        <v>538</v>
      </c>
      <c r="C258" s="10" t="s">
        <v>48</v>
      </c>
      <c r="D258" s="10" t="s">
        <v>49</v>
      </c>
      <c r="E258" s="11" t="n">
        <v>758</v>
      </c>
      <c r="F258" s="11" t="n">
        <v>439</v>
      </c>
      <c r="G258" s="12" t="n">
        <v>0.42</v>
      </c>
      <c r="H258" s="13" t="n">
        <v>4.2</v>
      </c>
      <c r="I258" s="11" t="n">
        <v>4296</v>
      </c>
      <c r="J258" s="11" t="n">
        <f aca="false">E258-F258</f>
        <v>319</v>
      </c>
      <c r="K258" s="10" t="str">
        <f aca="false">IF(G258&lt;0.2,"0-19%",IF(G258&lt;0.4,"20-39%",IF(G258&lt;0.6,"40-59%",IF(G258&lt;0.8,"60-79%","80%+"))))</f>
        <v>40-59%</v>
      </c>
      <c r="L258" s="10" t="str">
        <f aca="false">IF(H258="","No rating",IF(H258&lt;3.5,"Below 3.5",IF(H258&lt;4,"3.5-3.9",IF(H258&lt;4.5,"4.0-4.4","4.5+"))))</f>
        <v>4.0-4.4</v>
      </c>
    </row>
    <row r="259" customFormat="false" ht="15" hidden="false" customHeight="false" outlineLevel="0" collapsed="false">
      <c r="A259" s="10" t="s">
        <v>539</v>
      </c>
      <c r="B259" s="10" t="s">
        <v>540</v>
      </c>
      <c r="C259" s="10" t="s">
        <v>21</v>
      </c>
      <c r="D259" s="10" t="s">
        <v>22</v>
      </c>
      <c r="E259" s="11" t="n">
        <v>999</v>
      </c>
      <c r="F259" s="11" t="n">
        <v>299</v>
      </c>
      <c r="G259" s="12" t="n">
        <v>0.7</v>
      </c>
      <c r="H259" s="13" t="n">
        <v>4.3</v>
      </c>
      <c r="I259" s="11" t="n">
        <v>2651</v>
      </c>
      <c r="J259" s="11" t="n">
        <f aca="false">E259-F259</f>
        <v>700</v>
      </c>
      <c r="K259" s="10" t="str">
        <f aca="false">IF(G259&lt;0.2,"0-19%",IF(G259&lt;0.4,"20-39%",IF(G259&lt;0.6,"40-59%",IF(G259&lt;0.8,"60-79%","80%+"))))</f>
        <v>60-79%</v>
      </c>
      <c r="L259" s="10" t="str">
        <f aca="false">IF(H259="","No rating",IF(H259&lt;3.5,"Below 3.5",IF(H259&lt;4,"3.5-3.9",IF(H259&lt;4.5,"4.0-4.4","4.5+"))))</f>
        <v>4.0-4.4</v>
      </c>
    </row>
    <row r="260" customFormat="false" ht="15" hidden="false" customHeight="false" outlineLevel="0" collapsed="false">
      <c r="A260" s="10" t="s">
        <v>541</v>
      </c>
      <c r="B260" s="10" t="s">
        <v>542</v>
      </c>
      <c r="C260" s="10" t="s">
        <v>21</v>
      </c>
      <c r="D260" s="10" t="s">
        <v>22</v>
      </c>
      <c r="E260" s="11" t="n">
        <v>799</v>
      </c>
      <c r="F260" s="11" t="n">
        <v>299</v>
      </c>
      <c r="G260" s="12" t="n">
        <v>0.63</v>
      </c>
      <c r="H260" s="13" t="n">
        <v>4.2</v>
      </c>
      <c r="I260" s="11" t="n">
        <v>94363</v>
      </c>
      <c r="J260" s="11" t="n">
        <f aca="false">E260-F260</f>
        <v>500</v>
      </c>
      <c r="K260" s="10" t="str">
        <f aca="false">IF(G260&lt;0.2,"0-19%",IF(G260&lt;0.4,"20-39%",IF(G260&lt;0.6,"40-59%",IF(G260&lt;0.8,"60-79%","80%+"))))</f>
        <v>60-79%</v>
      </c>
      <c r="L260" s="10" t="str">
        <f aca="false">IF(H260="","No rating",IF(H260&lt;3.5,"Below 3.5",IF(H260&lt;4,"3.5-3.9",IF(H260&lt;4.5,"4.0-4.4","4.5+"))))</f>
        <v>4.0-4.4</v>
      </c>
    </row>
    <row r="261" customFormat="false" ht="15" hidden="false" customHeight="false" outlineLevel="0" collapsed="false">
      <c r="A261" s="10" t="s">
        <v>543</v>
      </c>
      <c r="B261" s="10" t="s">
        <v>544</v>
      </c>
      <c r="C261" s="10" t="s">
        <v>21</v>
      </c>
      <c r="D261" s="10" t="s">
        <v>22</v>
      </c>
      <c r="E261" s="11" t="n">
        <v>1999</v>
      </c>
      <c r="F261" s="11" t="n">
        <v>789</v>
      </c>
      <c r="G261" s="12" t="n">
        <v>0.61</v>
      </c>
      <c r="H261" s="13" t="n">
        <v>4.2</v>
      </c>
      <c r="I261" s="11" t="n">
        <v>34540</v>
      </c>
      <c r="J261" s="11" t="n">
        <f aca="false">E261-F261</f>
        <v>1210</v>
      </c>
      <c r="K261" s="10" t="str">
        <f aca="false">IF(G261&lt;0.2,"0-19%",IF(G261&lt;0.4,"20-39%",IF(G261&lt;0.6,"40-59%",IF(G261&lt;0.8,"60-79%","80%+"))))</f>
        <v>60-79%</v>
      </c>
      <c r="L261" s="10" t="str">
        <f aca="false">IF(H261="","No rating",IF(H261&lt;3.5,"Below 3.5",IF(H261&lt;4,"3.5-3.9",IF(H261&lt;4.5,"4.0-4.4","4.5+"))))</f>
        <v>4.0-4.4</v>
      </c>
    </row>
    <row r="262" customFormat="false" ht="15" hidden="false" customHeight="false" outlineLevel="0" collapsed="false">
      <c r="A262" s="10" t="s">
        <v>545</v>
      </c>
      <c r="B262" s="10" t="s">
        <v>546</v>
      </c>
      <c r="C262" s="10" t="s">
        <v>48</v>
      </c>
      <c r="D262" s="10" t="s">
        <v>49</v>
      </c>
      <c r="E262" s="11" t="n">
        <v>700</v>
      </c>
      <c r="F262" s="11" t="n">
        <v>299</v>
      </c>
      <c r="G262" s="12" t="n">
        <v>0.57</v>
      </c>
      <c r="H262" s="13" t="n">
        <v>4.4</v>
      </c>
      <c r="I262" s="11" t="n">
        <v>8714</v>
      </c>
      <c r="J262" s="11" t="n">
        <f aca="false">E262-F262</f>
        <v>401</v>
      </c>
      <c r="K262" s="10" t="str">
        <f aca="false">IF(G262&lt;0.2,"0-19%",IF(G262&lt;0.4,"20-39%",IF(G262&lt;0.6,"40-59%",IF(G262&lt;0.8,"60-79%","80%+"))))</f>
        <v>40-59%</v>
      </c>
      <c r="L262" s="10" t="str">
        <f aca="false">IF(H262="","No rating",IF(H262&lt;3.5,"Below 3.5",IF(H262&lt;4,"3.5-3.9",IF(H262&lt;4.5,"4.0-4.4","4.5+"))))</f>
        <v>4.0-4.4</v>
      </c>
    </row>
    <row r="263" customFormat="false" ht="15" hidden="false" customHeight="false" outlineLevel="0" collapsed="false">
      <c r="A263" s="10" t="s">
        <v>547</v>
      </c>
      <c r="B263" s="10" t="s">
        <v>548</v>
      </c>
      <c r="C263" s="10" t="s">
        <v>21</v>
      </c>
      <c r="D263" s="10" t="s">
        <v>22</v>
      </c>
      <c r="E263" s="11" t="n">
        <v>1099</v>
      </c>
      <c r="F263" s="11" t="n">
        <v>325</v>
      </c>
      <c r="G263" s="12" t="n">
        <v>0.7</v>
      </c>
      <c r="H263" s="13" t="n">
        <v>4.2</v>
      </c>
      <c r="I263" s="11" t="n">
        <v>10576</v>
      </c>
      <c r="J263" s="11" t="n">
        <f aca="false">E263-F263</f>
        <v>774</v>
      </c>
      <c r="K263" s="10" t="str">
        <f aca="false">IF(G263&lt;0.2,"0-19%",IF(G263&lt;0.4,"20-39%",IF(G263&lt;0.6,"40-59%",IF(G263&lt;0.8,"60-79%","80%+"))))</f>
        <v>60-79%</v>
      </c>
      <c r="L263" s="10" t="str">
        <f aca="false">IF(H263="","No rating",IF(H263&lt;3.5,"Below 3.5",IF(H263&lt;4,"3.5-3.9",IF(H263&lt;4.5,"4.0-4.4","4.5+"))))</f>
        <v>4.0-4.4</v>
      </c>
    </row>
    <row r="264" customFormat="false" ht="15" hidden="false" customHeight="false" outlineLevel="0" collapsed="false">
      <c r="A264" s="10" t="s">
        <v>549</v>
      </c>
      <c r="B264" s="10" t="s">
        <v>550</v>
      </c>
      <c r="C264" s="10" t="s">
        <v>21</v>
      </c>
      <c r="D264" s="10" t="s">
        <v>22</v>
      </c>
      <c r="E264" s="11" t="n">
        <v>1999</v>
      </c>
      <c r="F264" s="11" t="n">
        <v>1299</v>
      </c>
      <c r="G264" s="12" t="n">
        <v>0.35</v>
      </c>
      <c r="H264" s="13" t="n">
        <v>4.4</v>
      </c>
      <c r="I264" s="11" t="n">
        <v>7318</v>
      </c>
      <c r="J264" s="11" t="n">
        <f aca="false">E264-F264</f>
        <v>700</v>
      </c>
      <c r="K264" s="10" t="str">
        <f aca="false">IF(G264&lt;0.2,"0-19%",IF(G264&lt;0.4,"20-39%",IF(G264&lt;0.6,"40-59%",IF(G264&lt;0.8,"60-79%","80%+"))))</f>
        <v>20-39%</v>
      </c>
      <c r="L264" s="10" t="str">
        <f aca="false">IF(H264="","No rating",IF(H264&lt;3.5,"Below 3.5",IF(H264&lt;4,"3.5-3.9",IF(H264&lt;4.5,"4.0-4.4","4.5+"))))</f>
        <v>4.0-4.4</v>
      </c>
    </row>
    <row r="265" customFormat="false" ht="15" hidden="false" customHeight="false" outlineLevel="0" collapsed="false">
      <c r="A265" s="10" t="s">
        <v>551</v>
      </c>
      <c r="B265" s="10" t="s">
        <v>552</v>
      </c>
      <c r="C265" s="10" t="s">
        <v>48</v>
      </c>
      <c r="D265" s="10" t="s">
        <v>49</v>
      </c>
      <c r="E265" s="11" t="n">
        <v>1999</v>
      </c>
      <c r="F265" s="11" t="n">
        <v>790</v>
      </c>
      <c r="G265" s="12" t="n">
        <v>0.6</v>
      </c>
      <c r="H265" s="13" t="n">
        <v>3</v>
      </c>
      <c r="I265" s="11" t="n">
        <v>103</v>
      </c>
      <c r="J265" s="11" t="n">
        <f aca="false">E265-F265</f>
        <v>1209</v>
      </c>
      <c r="K265" s="10" t="str">
        <f aca="false">IF(G265&lt;0.2,"0-19%",IF(G265&lt;0.4,"20-39%",IF(G265&lt;0.6,"40-59%",IF(G265&lt;0.8,"60-79%","80%+"))))</f>
        <v>60-79%</v>
      </c>
      <c r="L265" s="10" t="str">
        <f aca="false">IF(H265="","No rating",IF(H265&lt;3.5,"Below 3.5",IF(H265&lt;4,"3.5-3.9",IF(H265&lt;4.5,"4.0-4.4","4.5+"))))</f>
        <v>Below 3.5</v>
      </c>
    </row>
    <row r="266" customFormat="false" ht="15" hidden="false" customHeight="false" outlineLevel="0" collapsed="false">
      <c r="A266" s="10" t="s">
        <v>553</v>
      </c>
      <c r="B266" s="10" t="s">
        <v>554</v>
      </c>
      <c r="C266" s="10" t="s">
        <v>48</v>
      </c>
      <c r="D266" s="10" t="s">
        <v>290</v>
      </c>
      <c r="E266" s="11" t="n">
        <v>4699</v>
      </c>
      <c r="F266" s="11" t="n">
        <v>4699</v>
      </c>
      <c r="G266" s="12" t="n">
        <v>0</v>
      </c>
      <c r="H266" s="13" t="n">
        <v>4.5</v>
      </c>
      <c r="I266" s="11" t="n">
        <v>224</v>
      </c>
      <c r="J266" s="11" t="n">
        <f aca="false">E266-F266</f>
        <v>0</v>
      </c>
      <c r="K266" s="10" t="str">
        <f aca="false">IF(G266&lt;0.2,"0-19%",IF(G266&lt;0.4,"20-39%",IF(G266&lt;0.6,"40-59%",IF(G266&lt;0.8,"60-79%","80%+"))))</f>
        <v>0-19%</v>
      </c>
      <c r="L266" s="10" t="str">
        <f aca="false">IF(H266="","No rating",IF(H266&lt;3.5,"Below 3.5",IF(H266&lt;4,"3.5-3.9",IF(H266&lt;4.5,"4.0-4.4","4.5+"))))</f>
        <v>4.5+</v>
      </c>
    </row>
    <row r="267" customFormat="false" ht="15" hidden="false" customHeight="false" outlineLevel="0" collapsed="false">
      <c r="A267" s="10" t="s">
        <v>555</v>
      </c>
      <c r="B267" s="10" t="s">
        <v>556</v>
      </c>
      <c r="C267" s="10" t="s">
        <v>48</v>
      </c>
      <c r="D267" s="10" t="s">
        <v>49</v>
      </c>
      <c r="E267" s="11" t="n">
        <v>24990</v>
      </c>
      <c r="F267" s="11" t="n">
        <v>18999</v>
      </c>
      <c r="G267" s="12" t="n">
        <v>0.24</v>
      </c>
      <c r="H267" s="13" t="n">
        <v>4.3</v>
      </c>
      <c r="I267" s="11" t="n">
        <v>4702</v>
      </c>
      <c r="J267" s="11" t="n">
        <f aca="false">E267-F267</f>
        <v>5991</v>
      </c>
      <c r="K267" s="10" t="str">
        <f aca="false">IF(G267&lt;0.2,"0-19%",IF(G267&lt;0.4,"20-39%",IF(G267&lt;0.6,"40-59%",IF(G267&lt;0.8,"60-79%","80%+"))))</f>
        <v>20-39%</v>
      </c>
      <c r="L267" s="10" t="str">
        <f aca="false">IF(H267="","No rating",IF(H267&lt;3.5,"Below 3.5",IF(H267&lt;4,"3.5-3.9",IF(H267&lt;4.5,"4.0-4.4","4.5+"))))</f>
        <v>4.0-4.4</v>
      </c>
    </row>
    <row r="268" customFormat="false" ht="15" hidden="false" customHeight="false" outlineLevel="0" collapsed="false">
      <c r="A268" s="10" t="s">
        <v>557</v>
      </c>
      <c r="B268" s="10" t="s">
        <v>558</v>
      </c>
      <c r="C268" s="10" t="s">
        <v>21</v>
      </c>
      <c r="D268" s="10" t="s">
        <v>22</v>
      </c>
      <c r="E268" s="11" t="n">
        <v>999</v>
      </c>
      <c r="F268" s="11" t="n">
        <v>199</v>
      </c>
      <c r="G268" s="12" t="n">
        <v>0.8</v>
      </c>
      <c r="H268" s="13" t="n">
        <v>4.2</v>
      </c>
      <c r="I268" s="11" t="n">
        <v>85</v>
      </c>
      <c r="J268" s="11" t="n">
        <f aca="false">E268-F268</f>
        <v>800</v>
      </c>
      <c r="K268" s="10" t="str">
        <f aca="false">IF(G268&lt;0.2,"0-19%",IF(G268&lt;0.4,"20-39%",IF(G268&lt;0.6,"40-59%",IF(G268&lt;0.8,"60-79%","80%+"))))</f>
        <v>80%+</v>
      </c>
      <c r="L268" s="10" t="str">
        <f aca="false">IF(H268="","No rating",IF(H268&lt;3.5,"Below 3.5",IF(H268&lt;4,"3.5-3.9",IF(H268&lt;4.5,"4.0-4.4","4.5+"))))</f>
        <v>4.0-4.4</v>
      </c>
    </row>
    <row r="269" customFormat="false" ht="15" hidden="false" customHeight="false" outlineLevel="0" collapsed="false">
      <c r="A269" s="10" t="s">
        <v>559</v>
      </c>
      <c r="B269" s="10" t="s">
        <v>560</v>
      </c>
      <c r="C269" s="10" t="s">
        <v>48</v>
      </c>
      <c r="D269" s="10" t="s">
        <v>49</v>
      </c>
      <c r="E269" s="11" t="n">
        <v>650</v>
      </c>
      <c r="F269" s="11" t="n">
        <v>269</v>
      </c>
      <c r="G269" s="12" t="n">
        <v>0.59</v>
      </c>
      <c r="H269" s="13" t="n">
        <v>4.4</v>
      </c>
      <c r="I269" s="11" t="n">
        <v>35877</v>
      </c>
      <c r="J269" s="11" t="n">
        <f aca="false">E269-F269</f>
        <v>381</v>
      </c>
      <c r="K269" s="10" t="str">
        <f aca="false">IF(G269&lt;0.2,"0-19%",IF(G269&lt;0.4,"20-39%",IF(G269&lt;0.6,"40-59%",IF(G269&lt;0.8,"60-79%","80%+"))))</f>
        <v>40-59%</v>
      </c>
      <c r="L269" s="10" t="str">
        <f aca="false">IF(H269="","No rating",IF(H269&lt;3.5,"Below 3.5",IF(H269&lt;4,"3.5-3.9",IF(H269&lt;4.5,"4.0-4.4","4.5+"))))</f>
        <v>4.0-4.4</v>
      </c>
    </row>
    <row r="270" customFormat="false" ht="15" hidden="false" customHeight="false" outlineLevel="0" collapsed="false">
      <c r="A270" s="10" t="s">
        <v>561</v>
      </c>
      <c r="B270" s="10" t="s">
        <v>562</v>
      </c>
      <c r="C270" s="10" t="s">
        <v>48</v>
      </c>
      <c r="D270" s="10" t="s">
        <v>49</v>
      </c>
      <c r="E270" s="11" t="n">
        <v>3100</v>
      </c>
      <c r="F270" s="11" t="n">
        <v>1990</v>
      </c>
      <c r="G270" s="12" t="n">
        <v>0.36</v>
      </c>
      <c r="H270" s="13" t="n">
        <v>4</v>
      </c>
      <c r="I270" s="11" t="n">
        <v>897</v>
      </c>
      <c r="J270" s="11" t="n">
        <f aca="false">E270-F270</f>
        <v>1110</v>
      </c>
      <c r="K270" s="10" t="str">
        <f aca="false">IF(G270&lt;0.2,"0-19%",IF(G270&lt;0.4,"20-39%",IF(G270&lt;0.6,"40-59%",IF(G270&lt;0.8,"60-79%","80%+"))))</f>
        <v>20-39%</v>
      </c>
      <c r="L270" s="10" t="str">
        <f aca="false">IF(H270="","No rating",IF(H270&lt;3.5,"Below 3.5",IF(H270&lt;4,"3.5-3.9",IF(H270&lt;4.5,"4.0-4.4","4.5+"))))</f>
        <v>4.0-4.4</v>
      </c>
    </row>
    <row r="271" customFormat="false" ht="15" hidden="false" customHeight="false" outlineLevel="0" collapsed="false">
      <c r="A271" s="10" t="s">
        <v>563</v>
      </c>
      <c r="B271" s="10" t="s">
        <v>564</v>
      </c>
      <c r="C271" s="10" t="s">
        <v>48</v>
      </c>
      <c r="D271" s="10" t="s">
        <v>290</v>
      </c>
      <c r="E271" s="11" t="n">
        <v>3999</v>
      </c>
      <c r="F271" s="11" t="n">
        <v>2299</v>
      </c>
      <c r="G271" s="12" t="n">
        <v>0.43</v>
      </c>
      <c r="H271" s="13" t="n">
        <v>3.8</v>
      </c>
      <c r="I271" s="11" t="n">
        <v>282</v>
      </c>
      <c r="J271" s="11" t="n">
        <f aca="false">E271-F271</f>
        <v>1700</v>
      </c>
      <c r="K271" s="10" t="str">
        <f aca="false">IF(G271&lt;0.2,"0-19%",IF(G271&lt;0.4,"20-39%",IF(G271&lt;0.6,"40-59%",IF(G271&lt;0.8,"60-79%","80%+"))))</f>
        <v>40-59%</v>
      </c>
      <c r="L271" s="10" t="str">
        <f aca="false">IF(H271="","No rating",IF(H271&lt;3.5,"Below 3.5",IF(H271&lt;4,"3.5-3.9",IF(H271&lt;4.5,"4.0-4.4","4.5+"))))</f>
        <v>3.5-3.9</v>
      </c>
    </row>
    <row r="272" customFormat="false" ht="15" hidden="false" customHeight="false" outlineLevel="0" collapsed="false">
      <c r="A272" s="10" t="s">
        <v>565</v>
      </c>
      <c r="B272" s="10" t="s">
        <v>566</v>
      </c>
      <c r="C272" s="10" t="s">
        <v>48</v>
      </c>
      <c r="D272" s="10" t="s">
        <v>49</v>
      </c>
      <c r="E272" s="11" t="n">
        <v>49990</v>
      </c>
      <c r="F272" s="11" t="n">
        <v>35999</v>
      </c>
      <c r="G272" s="12" t="n">
        <v>0.28</v>
      </c>
      <c r="H272" s="13" t="n">
        <v>4.3</v>
      </c>
      <c r="I272" s="11" t="n">
        <v>1611</v>
      </c>
      <c r="J272" s="11" t="n">
        <f aca="false">E272-F272</f>
        <v>13991</v>
      </c>
      <c r="K272" s="10" t="str">
        <f aca="false">IF(G272&lt;0.2,"0-19%",IF(G272&lt;0.4,"20-39%",IF(G272&lt;0.6,"40-59%",IF(G272&lt;0.8,"60-79%","80%+"))))</f>
        <v>20-39%</v>
      </c>
      <c r="L272" s="10" t="str">
        <f aca="false">IF(H272="","No rating",IF(H272&lt;3.5,"Below 3.5",IF(H272&lt;4,"3.5-3.9",IF(H272&lt;4.5,"4.0-4.4","4.5+"))))</f>
        <v>4.0-4.4</v>
      </c>
    </row>
    <row r="273" customFormat="false" ht="15" hidden="false" customHeight="false" outlineLevel="0" collapsed="false">
      <c r="A273" s="10" t="s">
        <v>567</v>
      </c>
      <c r="B273" s="10" t="s">
        <v>568</v>
      </c>
      <c r="C273" s="10" t="s">
        <v>48</v>
      </c>
      <c r="D273" s="10" t="s">
        <v>49</v>
      </c>
      <c r="E273" s="11" t="n">
        <v>999</v>
      </c>
      <c r="F273" s="11" t="n">
        <v>349</v>
      </c>
      <c r="G273" s="12" t="n">
        <v>0.65</v>
      </c>
      <c r="H273" s="13" t="n">
        <v>4.2</v>
      </c>
      <c r="I273" s="11" t="n">
        <v>513</v>
      </c>
      <c r="J273" s="11" t="n">
        <f aca="false">E273-F273</f>
        <v>650</v>
      </c>
      <c r="K273" s="10" t="str">
        <f aca="false">IF(G273&lt;0.2,"0-19%",IF(G273&lt;0.4,"20-39%",IF(G273&lt;0.6,"40-59%",IF(G273&lt;0.8,"60-79%","80%+"))))</f>
        <v>60-79%</v>
      </c>
      <c r="L273" s="10" t="str">
        <f aca="false">IF(H273="","No rating",IF(H273&lt;3.5,"Below 3.5",IF(H273&lt;4,"3.5-3.9",IF(H273&lt;4.5,"4.0-4.4","4.5+"))))</f>
        <v>4.0-4.4</v>
      </c>
    </row>
    <row r="274" customFormat="false" ht="15" hidden="false" customHeight="false" outlineLevel="0" collapsed="false">
      <c r="A274" s="10" t="s">
        <v>569</v>
      </c>
      <c r="B274" s="10" t="s">
        <v>570</v>
      </c>
      <c r="C274" s="10" t="s">
        <v>21</v>
      </c>
      <c r="D274" s="10" t="s">
        <v>22</v>
      </c>
      <c r="E274" s="11" t="n">
        <v>1499</v>
      </c>
      <c r="F274" s="11" t="n">
        <v>719</v>
      </c>
      <c r="G274" s="12" t="n">
        <v>0.52</v>
      </c>
      <c r="H274" s="13" t="n">
        <v>4.1</v>
      </c>
      <c r="I274" s="11" t="n">
        <v>1045</v>
      </c>
      <c r="J274" s="11" t="n">
        <f aca="false">E274-F274</f>
        <v>780</v>
      </c>
      <c r="K274" s="10" t="str">
        <f aca="false">IF(G274&lt;0.2,"0-19%",IF(G274&lt;0.4,"20-39%",IF(G274&lt;0.6,"40-59%",IF(G274&lt;0.8,"60-79%","80%+"))))</f>
        <v>40-59%</v>
      </c>
      <c r="L274" s="10" t="str">
        <f aca="false">IF(H274="","No rating",IF(H274&lt;3.5,"Below 3.5",IF(H274&lt;4,"3.5-3.9",IF(H274&lt;4.5,"4.0-4.4","4.5+"))))</f>
        <v>4.0-4.4</v>
      </c>
    </row>
    <row r="275" customFormat="false" ht="15" hidden="false" customHeight="false" outlineLevel="0" collapsed="false">
      <c r="A275" s="10" t="s">
        <v>571</v>
      </c>
      <c r="B275" s="10" t="s">
        <v>572</v>
      </c>
      <c r="C275" s="10" t="s">
        <v>48</v>
      </c>
      <c r="D275" s="10" t="s">
        <v>49</v>
      </c>
      <c r="E275" s="11" t="n">
        <v>18999</v>
      </c>
      <c r="F275" s="11" t="n">
        <v>8999</v>
      </c>
      <c r="G275" s="12" t="n">
        <v>0.53</v>
      </c>
      <c r="H275" s="13" t="n">
        <v>4</v>
      </c>
      <c r="I275" s="11" t="n">
        <v>6347</v>
      </c>
      <c r="J275" s="11" t="n">
        <f aca="false">E275-F275</f>
        <v>10000</v>
      </c>
      <c r="K275" s="10" t="str">
        <f aca="false">IF(G275&lt;0.2,"0-19%",IF(G275&lt;0.4,"20-39%",IF(G275&lt;0.6,"40-59%",IF(G275&lt;0.8,"60-79%","80%+"))))</f>
        <v>40-59%</v>
      </c>
      <c r="L275" s="10" t="str">
        <f aca="false">IF(H275="","No rating",IF(H275&lt;3.5,"Below 3.5",IF(H275&lt;4,"3.5-3.9",IF(H275&lt;4.5,"4.0-4.4","4.5+"))))</f>
        <v>4.0-4.4</v>
      </c>
    </row>
    <row r="276" customFormat="false" ht="15" hidden="false" customHeight="false" outlineLevel="0" collapsed="false">
      <c r="A276" s="10" t="s">
        <v>573</v>
      </c>
      <c r="B276" s="10" t="s">
        <v>574</v>
      </c>
      <c r="C276" s="10" t="s">
        <v>48</v>
      </c>
      <c r="D276" s="10" t="s">
        <v>49</v>
      </c>
      <c r="E276" s="11" t="n">
        <v>2299</v>
      </c>
      <c r="F276" s="11" t="n">
        <v>917</v>
      </c>
      <c r="G276" s="12" t="n">
        <v>0.6</v>
      </c>
      <c r="H276" s="13" t="n">
        <v>4.2</v>
      </c>
      <c r="I276" s="11" t="n">
        <v>3300</v>
      </c>
      <c r="J276" s="11" t="n">
        <f aca="false">E276-F276</f>
        <v>1382</v>
      </c>
      <c r="K276" s="10" t="str">
        <f aca="false">IF(G276&lt;0.2,"0-19%",IF(G276&lt;0.4,"20-39%",IF(G276&lt;0.6,"40-59%",IF(G276&lt;0.8,"60-79%","80%+"))))</f>
        <v>60-79%</v>
      </c>
      <c r="L276" s="10" t="str">
        <f aca="false">IF(H276="","No rating",IF(H276&lt;3.5,"Below 3.5",IF(H276&lt;4,"3.5-3.9",IF(H276&lt;4.5,"4.0-4.4","4.5+"))))</f>
        <v>4.0-4.4</v>
      </c>
    </row>
    <row r="277" customFormat="false" ht="15" hidden="false" customHeight="false" outlineLevel="0" collapsed="false">
      <c r="A277" s="10" t="s">
        <v>575</v>
      </c>
      <c r="B277" s="10" t="s">
        <v>576</v>
      </c>
      <c r="C277" s="10" t="s">
        <v>48</v>
      </c>
      <c r="D277" s="10" t="s">
        <v>49</v>
      </c>
      <c r="E277" s="11" t="n">
        <v>999</v>
      </c>
      <c r="F277" s="11" t="n">
        <v>399</v>
      </c>
      <c r="G277" s="12" t="n">
        <v>0.6</v>
      </c>
      <c r="H277" s="13" t="n">
        <v>3.3</v>
      </c>
      <c r="I277" s="11" t="n">
        <v>23</v>
      </c>
      <c r="J277" s="11" t="n">
        <f aca="false">E277-F277</f>
        <v>600</v>
      </c>
      <c r="K277" s="10" t="str">
        <f aca="false">IF(G277&lt;0.2,"0-19%",IF(G277&lt;0.4,"20-39%",IF(G277&lt;0.6,"40-59%",IF(G277&lt;0.8,"60-79%","80%+"))))</f>
        <v>60-79%</v>
      </c>
      <c r="L277" s="10" t="str">
        <f aca="false">IF(H277="","No rating",IF(H277&lt;3.5,"Below 3.5",IF(H277&lt;4,"3.5-3.9",IF(H277&lt;4.5,"4.0-4.4","4.5+"))))</f>
        <v>Below 3.5</v>
      </c>
    </row>
    <row r="278" customFormat="false" ht="15" hidden="false" customHeight="false" outlineLevel="0" collapsed="false">
      <c r="A278" s="10" t="s">
        <v>577</v>
      </c>
      <c r="B278" s="10" t="s">
        <v>578</v>
      </c>
      <c r="C278" s="10" t="s">
        <v>48</v>
      </c>
      <c r="D278" s="10" t="s">
        <v>49</v>
      </c>
      <c r="E278" s="11" t="n">
        <v>69900</v>
      </c>
      <c r="F278" s="11" t="n">
        <v>45999</v>
      </c>
      <c r="G278" s="12" t="n">
        <v>0.34</v>
      </c>
      <c r="H278" s="13" t="n">
        <v>4.3</v>
      </c>
      <c r="I278" s="11" t="n">
        <v>7109</v>
      </c>
      <c r="J278" s="11" t="n">
        <f aca="false">E278-F278</f>
        <v>23901</v>
      </c>
      <c r="K278" s="10" t="str">
        <f aca="false">IF(G278&lt;0.2,"0-19%",IF(G278&lt;0.4,"20-39%",IF(G278&lt;0.6,"40-59%",IF(G278&lt;0.8,"60-79%","80%+"))))</f>
        <v>20-39%</v>
      </c>
      <c r="L278" s="10" t="str">
        <f aca="false">IF(H278="","No rating",IF(H278&lt;3.5,"Below 3.5",IF(H278&lt;4,"3.5-3.9",IF(H278&lt;4.5,"4.0-4.4","4.5+"))))</f>
        <v>4.0-4.4</v>
      </c>
    </row>
    <row r="279" customFormat="false" ht="15" hidden="false" customHeight="false" outlineLevel="0" collapsed="false">
      <c r="A279" s="10" t="s">
        <v>579</v>
      </c>
      <c r="B279" s="10" t="s">
        <v>580</v>
      </c>
      <c r="C279" s="10" t="s">
        <v>21</v>
      </c>
      <c r="D279" s="10" t="s">
        <v>22</v>
      </c>
      <c r="E279" s="11" t="n">
        <v>299</v>
      </c>
      <c r="F279" s="11" t="n">
        <v>119</v>
      </c>
      <c r="G279" s="12" t="n">
        <v>0.6</v>
      </c>
      <c r="H279" s="13" t="n">
        <v>3.8</v>
      </c>
      <c r="I279" s="11" t="n">
        <v>51</v>
      </c>
      <c r="J279" s="11" t="n">
        <f aca="false">E279-F279</f>
        <v>180</v>
      </c>
      <c r="K279" s="10" t="str">
        <f aca="false">IF(G279&lt;0.2,"0-19%",IF(G279&lt;0.4,"20-39%",IF(G279&lt;0.6,"40-59%",IF(G279&lt;0.8,"60-79%","80%+"))))</f>
        <v>60-79%</v>
      </c>
      <c r="L279" s="10" t="str">
        <f aca="false">IF(H279="","No rating",IF(H279&lt;3.5,"Below 3.5",IF(H279&lt;4,"3.5-3.9",IF(H279&lt;4.5,"4.0-4.4","4.5+"))))</f>
        <v>3.5-3.9</v>
      </c>
    </row>
    <row r="280" customFormat="false" ht="15" hidden="false" customHeight="false" outlineLevel="0" collapsed="false">
      <c r="A280" s="10" t="s">
        <v>581</v>
      </c>
      <c r="B280" s="10" t="s">
        <v>582</v>
      </c>
      <c r="C280" s="10" t="s">
        <v>48</v>
      </c>
      <c r="D280" s="10" t="s">
        <v>49</v>
      </c>
      <c r="E280" s="11" t="n">
        <v>29999</v>
      </c>
      <c r="F280" s="11" t="n">
        <v>21999</v>
      </c>
      <c r="G280" s="12" t="n">
        <v>0.27</v>
      </c>
      <c r="H280" s="13" t="n">
        <v>4.2</v>
      </c>
      <c r="I280" s="11" t="n">
        <v>32840</v>
      </c>
      <c r="J280" s="11" t="n">
        <f aca="false">E280-F280</f>
        <v>8000</v>
      </c>
      <c r="K280" s="10" t="str">
        <f aca="false">IF(G280&lt;0.2,"0-19%",IF(G280&lt;0.4,"20-39%",IF(G280&lt;0.6,"40-59%",IF(G280&lt;0.8,"60-79%","80%+"))))</f>
        <v>20-39%</v>
      </c>
      <c r="L280" s="10" t="str">
        <f aca="false">IF(H280="","No rating",IF(H280&lt;3.5,"Below 3.5",IF(H280&lt;4,"3.5-3.9",IF(H280&lt;4.5,"4.0-4.4","4.5+"))))</f>
        <v>4.0-4.4</v>
      </c>
    </row>
    <row r="281" customFormat="false" ht="15" hidden="false" customHeight="false" outlineLevel="0" collapsed="false">
      <c r="A281" s="10" t="s">
        <v>583</v>
      </c>
      <c r="B281" s="10" t="s">
        <v>584</v>
      </c>
      <c r="C281" s="10" t="s">
        <v>48</v>
      </c>
      <c r="D281" s="10" t="s">
        <v>49</v>
      </c>
      <c r="E281" s="11" t="n">
        <v>599</v>
      </c>
      <c r="F281" s="11" t="n">
        <v>299</v>
      </c>
      <c r="G281" s="12" t="n">
        <v>0.5</v>
      </c>
      <c r="H281" s="13" t="n">
        <v>3.7</v>
      </c>
      <c r="I281" s="11" t="n">
        <v>708</v>
      </c>
      <c r="J281" s="11" t="n">
        <f aca="false">E281-F281</f>
        <v>300</v>
      </c>
      <c r="K281" s="10" t="str">
        <f aca="false">IF(G281&lt;0.2,"0-19%",IF(G281&lt;0.4,"20-39%",IF(G281&lt;0.6,"40-59%",IF(G281&lt;0.8,"60-79%","80%+"))))</f>
        <v>40-59%</v>
      </c>
      <c r="L281" s="10" t="str">
        <f aca="false">IF(H281="","No rating",IF(H281&lt;3.5,"Below 3.5",IF(H281&lt;4,"3.5-3.9",IF(H281&lt;4.5,"4.0-4.4","4.5+"))))</f>
        <v>3.5-3.9</v>
      </c>
    </row>
    <row r="282" customFormat="false" ht="15" hidden="false" customHeight="false" outlineLevel="0" collapsed="false">
      <c r="A282" s="10" t="s">
        <v>585</v>
      </c>
      <c r="B282" s="10" t="s">
        <v>586</v>
      </c>
      <c r="C282" s="10" t="s">
        <v>48</v>
      </c>
      <c r="D282" s="10" t="s">
        <v>49</v>
      </c>
      <c r="E282" s="11" t="n">
        <v>34990</v>
      </c>
      <c r="F282" s="11" t="n">
        <v>21990</v>
      </c>
      <c r="G282" s="12" t="n">
        <v>0.37</v>
      </c>
      <c r="H282" s="13" t="n">
        <v>4.3</v>
      </c>
      <c r="I282" s="11" t="n">
        <v>1657</v>
      </c>
      <c r="J282" s="11" t="n">
        <f aca="false">E282-F282</f>
        <v>13000</v>
      </c>
      <c r="K282" s="10" t="str">
        <f aca="false">IF(G282&lt;0.2,"0-19%",IF(G282&lt;0.4,"20-39%",IF(G282&lt;0.6,"40-59%",IF(G282&lt;0.8,"60-79%","80%+"))))</f>
        <v>20-39%</v>
      </c>
      <c r="L282" s="10" t="str">
        <f aca="false">IF(H282="","No rating",IF(H282&lt;3.5,"Below 3.5",IF(H282&lt;4,"3.5-3.9",IF(H282&lt;4.5,"4.0-4.4","4.5+"))))</f>
        <v>4.0-4.4</v>
      </c>
    </row>
    <row r="283" customFormat="false" ht="15" hidden="false" customHeight="false" outlineLevel="0" collapsed="false">
      <c r="A283" s="10" t="s">
        <v>587</v>
      </c>
      <c r="B283" s="10" t="s">
        <v>588</v>
      </c>
      <c r="C283" s="10" t="s">
        <v>21</v>
      </c>
      <c r="D283" s="10" t="s">
        <v>22</v>
      </c>
      <c r="E283" s="11" t="n">
        <v>670</v>
      </c>
      <c r="F283" s="11" t="n">
        <v>417.44</v>
      </c>
      <c r="G283" s="12" t="n">
        <v>0.38</v>
      </c>
      <c r="H283" s="13" t="n">
        <v>3.9</v>
      </c>
      <c r="I283" s="11" t="n">
        <v>523</v>
      </c>
      <c r="J283" s="11" t="n">
        <f aca="false">E283-F283</f>
        <v>252.56</v>
      </c>
      <c r="K283" s="10" t="str">
        <f aca="false">IF(G283&lt;0.2,"0-19%",IF(G283&lt;0.4,"20-39%",IF(G283&lt;0.6,"40-59%",IF(G283&lt;0.8,"60-79%","80%+"))))</f>
        <v>20-39%</v>
      </c>
      <c r="L283" s="10" t="str">
        <f aca="false">IF(H283="","No rating",IF(H283&lt;3.5,"Below 3.5",IF(H283&lt;4,"3.5-3.9",IF(H283&lt;4.5,"4.0-4.4","4.5+"))))</f>
        <v>3.5-3.9</v>
      </c>
    </row>
    <row r="284" customFormat="false" ht="15" hidden="false" customHeight="false" outlineLevel="0" collapsed="false">
      <c r="A284" s="10" t="s">
        <v>589</v>
      </c>
      <c r="B284" s="10" t="s">
        <v>590</v>
      </c>
      <c r="C284" s="10" t="s">
        <v>21</v>
      </c>
      <c r="D284" s="10" t="s">
        <v>22</v>
      </c>
      <c r="E284" s="11" t="n">
        <v>999</v>
      </c>
      <c r="F284" s="11" t="n">
        <v>199</v>
      </c>
      <c r="G284" s="12" t="n">
        <v>0.8</v>
      </c>
      <c r="H284" s="13" t="n">
        <v>3</v>
      </c>
      <c r="I284" s="11"/>
      <c r="J284" s="11" t="n">
        <f aca="false">E284-F284</f>
        <v>800</v>
      </c>
      <c r="K284" s="10" t="str">
        <f aca="false">IF(G284&lt;0.2,"0-19%",IF(G284&lt;0.4,"20-39%",IF(G284&lt;0.6,"40-59%",IF(G284&lt;0.8,"60-79%","80%+"))))</f>
        <v>80%+</v>
      </c>
      <c r="L284" s="10" t="str">
        <f aca="false">IF(H284="","No rating",IF(H284&lt;3.5,"Below 3.5",IF(H284&lt;4,"3.5-3.9",IF(H284&lt;4.5,"4.0-4.4","4.5+"))))</f>
        <v>Below 3.5</v>
      </c>
    </row>
    <row r="285" customFormat="false" ht="15" hidden="false" customHeight="false" outlineLevel="0" collapsed="false">
      <c r="A285" s="10" t="s">
        <v>591</v>
      </c>
      <c r="B285" s="10" t="s">
        <v>592</v>
      </c>
      <c r="C285" s="10" t="s">
        <v>48</v>
      </c>
      <c r="D285" s="10" t="s">
        <v>49</v>
      </c>
      <c r="E285" s="11" t="n">
        <v>79990</v>
      </c>
      <c r="F285" s="11" t="n">
        <v>47990</v>
      </c>
      <c r="G285" s="12" t="n">
        <v>0.4</v>
      </c>
      <c r="H285" s="13" t="n">
        <v>4.3</v>
      </c>
      <c r="I285" s="11" t="n">
        <v>1376</v>
      </c>
      <c r="J285" s="11" t="n">
        <f aca="false">E285-F285</f>
        <v>32000</v>
      </c>
      <c r="K285" s="10" t="str">
        <f aca="false">IF(G285&lt;0.2,"0-19%",IF(G285&lt;0.4,"20-39%",IF(G285&lt;0.6,"40-59%",IF(G285&lt;0.8,"60-79%","80%+"))))</f>
        <v>40-59%</v>
      </c>
      <c r="L285" s="10" t="str">
        <f aca="false">IF(H285="","No rating",IF(H285&lt;3.5,"Below 3.5",IF(H285&lt;4,"3.5-3.9",IF(H285&lt;4.5,"4.0-4.4","4.5+"))))</f>
        <v>4.0-4.4</v>
      </c>
    </row>
    <row r="286" customFormat="false" ht="15" hidden="false" customHeight="false" outlineLevel="0" collapsed="false">
      <c r="A286" s="10" t="s">
        <v>593</v>
      </c>
      <c r="B286" s="10" t="s">
        <v>594</v>
      </c>
      <c r="C286" s="10" t="s">
        <v>48</v>
      </c>
      <c r="D286" s="10" t="s">
        <v>49</v>
      </c>
      <c r="E286" s="11" t="n">
        <v>499</v>
      </c>
      <c r="F286" s="11" t="n">
        <v>215</v>
      </c>
      <c r="G286" s="12" t="n">
        <v>0.57</v>
      </c>
      <c r="H286" s="13" t="n">
        <v>3.5</v>
      </c>
      <c r="I286" s="11" t="n">
        <v>121</v>
      </c>
      <c r="J286" s="11" t="n">
        <f aca="false">E286-F286</f>
        <v>284</v>
      </c>
      <c r="K286" s="10" t="str">
        <f aca="false">IF(G286&lt;0.2,"0-19%",IF(G286&lt;0.4,"20-39%",IF(G286&lt;0.6,"40-59%",IF(G286&lt;0.8,"60-79%","80%+"))))</f>
        <v>40-59%</v>
      </c>
      <c r="L286" s="10" t="str">
        <f aca="false">IF(H286="","No rating",IF(H286&lt;3.5,"Below 3.5",IF(H286&lt;4,"3.5-3.9",IF(H286&lt;4.5,"4.0-4.4","4.5+"))))</f>
        <v>3.5-3.9</v>
      </c>
    </row>
    <row r="287" customFormat="false" ht="15" hidden="false" customHeight="false" outlineLevel="0" collapsed="false">
      <c r="A287" s="10" t="s">
        <v>595</v>
      </c>
      <c r="B287" s="10" t="s">
        <v>596</v>
      </c>
      <c r="C287" s="10" t="s">
        <v>21</v>
      </c>
      <c r="D287" s="10" t="s">
        <v>22</v>
      </c>
      <c r="E287" s="11" t="n">
        <v>800</v>
      </c>
      <c r="F287" s="11" t="n">
        <v>99</v>
      </c>
      <c r="G287" s="12" t="n">
        <v>0.88</v>
      </c>
      <c r="H287" s="13" t="n">
        <v>3.9</v>
      </c>
      <c r="I287" s="11" t="n">
        <v>1075</v>
      </c>
      <c r="J287" s="11" t="n">
        <f aca="false">E287-F287</f>
        <v>701</v>
      </c>
      <c r="K287" s="10" t="str">
        <f aca="false">IF(G287&lt;0.2,"0-19%",IF(G287&lt;0.4,"20-39%",IF(G287&lt;0.6,"40-59%",IF(G287&lt;0.8,"60-79%","80%+"))))</f>
        <v>80%+</v>
      </c>
      <c r="L287" s="10" t="str">
        <f aca="false">IF(H287="","No rating",IF(H287&lt;3.5,"Below 3.5",IF(H287&lt;4,"3.5-3.9",IF(H287&lt;4.5,"4.0-4.4","4.5+"))))</f>
        <v>3.5-3.9</v>
      </c>
    </row>
    <row r="288" customFormat="false" ht="15" hidden="false" customHeight="false" outlineLevel="0" collapsed="false">
      <c r="A288" s="10" t="s">
        <v>597</v>
      </c>
      <c r="B288" s="10" t="s">
        <v>598</v>
      </c>
      <c r="C288" s="10" t="s">
        <v>48</v>
      </c>
      <c r="D288" s="10" t="s">
        <v>49</v>
      </c>
      <c r="E288" s="11" t="n">
        <v>35000</v>
      </c>
      <c r="F288" s="11" t="n">
        <v>18999</v>
      </c>
      <c r="G288" s="12" t="n">
        <v>0.46</v>
      </c>
      <c r="H288" s="13" t="n">
        <v>4</v>
      </c>
      <c r="I288" s="11" t="n">
        <v>1001</v>
      </c>
      <c r="J288" s="11" t="n">
        <f aca="false">E288-F288</f>
        <v>16001</v>
      </c>
      <c r="K288" s="10" t="str">
        <f aca="false">IF(G288&lt;0.2,"0-19%",IF(G288&lt;0.4,"20-39%",IF(G288&lt;0.6,"40-59%",IF(G288&lt;0.8,"60-79%","80%+"))))</f>
        <v>40-59%</v>
      </c>
      <c r="L288" s="10" t="str">
        <f aca="false">IF(H288="","No rating",IF(H288&lt;3.5,"Below 3.5",IF(H288&lt;4,"3.5-3.9",IF(H288&lt;4.5,"4.0-4.4","4.5+"))))</f>
        <v>4.0-4.4</v>
      </c>
    </row>
    <row r="289" customFormat="false" ht="15" hidden="false" customHeight="false" outlineLevel="0" collapsed="false">
      <c r="A289" s="10" t="s">
        <v>599</v>
      </c>
      <c r="B289" s="10" t="s">
        <v>600</v>
      </c>
      <c r="C289" s="10" t="s">
        <v>21</v>
      </c>
      <c r="D289" s="10" t="s">
        <v>22</v>
      </c>
      <c r="E289" s="11" t="n">
        <v>999</v>
      </c>
      <c r="F289" s="11" t="n">
        <v>249</v>
      </c>
      <c r="G289" s="12" t="n">
        <v>0.75</v>
      </c>
      <c r="H289" s="13" t="n">
        <v>4.3</v>
      </c>
      <c r="I289" s="11" t="n">
        <v>112</v>
      </c>
      <c r="J289" s="11" t="n">
        <f aca="false">E289-F289</f>
        <v>750</v>
      </c>
      <c r="K289" s="10" t="str">
        <f aca="false">IF(G289&lt;0.2,"0-19%",IF(G289&lt;0.4,"20-39%",IF(G289&lt;0.6,"40-59%",IF(G289&lt;0.8,"60-79%","80%+"))))</f>
        <v>60-79%</v>
      </c>
      <c r="L289" s="10" t="str">
        <f aca="false">IF(H289="","No rating",IF(H289&lt;3.5,"Below 3.5",IF(H289&lt;4,"3.5-3.9",IF(H289&lt;4.5,"4.0-4.4","4.5+"))))</f>
        <v>4.0-4.4</v>
      </c>
    </row>
    <row r="290" customFormat="false" ht="15" hidden="false" customHeight="false" outlineLevel="0" collapsed="false">
      <c r="A290" s="10" t="s">
        <v>601</v>
      </c>
      <c r="B290" s="10" t="s">
        <v>602</v>
      </c>
      <c r="C290" s="10" t="s">
        <v>48</v>
      </c>
      <c r="D290" s="10" t="s">
        <v>49</v>
      </c>
      <c r="E290" s="11" t="n">
        <v>15999</v>
      </c>
      <c r="F290" s="11" t="n">
        <v>7999</v>
      </c>
      <c r="G290" s="12" t="n">
        <v>0.5</v>
      </c>
      <c r="H290" s="13" t="n">
        <v>3.8</v>
      </c>
      <c r="I290" s="11" t="n">
        <v>3022</v>
      </c>
      <c r="J290" s="11" t="n">
        <f aca="false">E290-F290</f>
        <v>8000</v>
      </c>
      <c r="K290" s="10" t="str">
        <f aca="false">IF(G290&lt;0.2,"0-19%",IF(G290&lt;0.4,"20-39%",IF(G290&lt;0.6,"40-59%",IF(G290&lt;0.8,"60-79%","80%+"))))</f>
        <v>40-59%</v>
      </c>
      <c r="L290" s="10" t="str">
        <f aca="false">IF(H290="","No rating",IF(H290&lt;3.5,"Below 3.5",IF(H290&lt;4,"3.5-3.9",IF(H290&lt;4.5,"4.0-4.4","4.5+"))))</f>
        <v>3.5-3.9</v>
      </c>
    </row>
    <row r="291" customFormat="false" ht="15" hidden="false" customHeight="false" outlineLevel="0" collapsed="false">
      <c r="A291" s="10" t="s">
        <v>603</v>
      </c>
      <c r="B291" s="10" t="s">
        <v>604</v>
      </c>
      <c r="C291" s="10" t="s">
        <v>21</v>
      </c>
      <c r="D291" s="10" t="s">
        <v>22</v>
      </c>
      <c r="E291" s="11" t="n">
        <v>1600</v>
      </c>
      <c r="F291" s="11" t="n">
        <v>649</v>
      </c>
      <c r="G291" s="12" t="n">
        <v>0.59</v>
      </c>
      <c r="H291" s="13" t="n">
        <v>4.3</v>
      </c>
      <c r="I291" s="11" t="n">
        <v>5451</v>
      </c>
      <c r="J291" s="11" t="n">
        <f aca="false">E291-F291</f>
        <v>951</v>
      </c>
      <c r="K291" s="10" t="str">
        <f aca="false">IF(G291&lt;0.2,"0-19%",IF(G291&lt;0.4,"20-39%",IF(G291&lt;0.6,"40-59%",IF(G291&lt;0.8,"60-79%","80%+"))))</f>
        <v>40-59%</v>
      </c>
      <c r="L291" s="10" t="str">
        <f aca="false">IF(H291="","No rating",IF(H291&lt;3.5,"Below 3.5",IF(H291&lt;4,"3.5-3.9",IF(H291&lt;4.5,"4.0-4.4","4.5+"))))</f>
        <v>4.0-4.4</v>
      </c>
    </row>
    <row r="292" customFormat="false" ht="15" hidden="false" customHeight="false" outlineLevel="0" collapsed="false">
      <c r="A292" s="10" t="s">
        <v>605</v>
      </c>
      <c r="B292" s="10" t="s">
        <v>183</v>
      </c>
      <c r="C292" s="10" t="s">
        <v>48</v>
      </c>
      <c r="D292" s="10" t="s">
        <v>49</v>
      </c>
      <c r="E292" s="11" t="n">
        <v>2499</v>
      </c>
      <c r="F292" s="11" t="n">
        <v>1289</v>
      </c>
      <c r="G292" s="12" t="n">
        <v>0.48</v>
      </c>
      <c r="H292" s="13" t="n">
        <v>3.3</v>
      </c>
      <c r="I292" s="11" t="n">
        <v>73</v>
      </c>
      <c r="J292" s="11" t="n">
        <f aca="false">E292-F292</f>
        <v>1210</v>
      </c>
      <c r="K292" s="10" t="str">
        <f aca="false">IF(G292&lt;0.2,"0-19%",IF(G292&lt;0.4,"20-39%",IF(G292&lt;0.6,"40-59%",IF(G292&lt;0.8,"60-79%","80%+"))))</f>
        <v>40-59%</v>
      </c>
      <c r="L292" s="10" t="str">
        <f aca="false">IF(H292="","No rating",IF(H292&lt;3.5,"Below 3.5",IF(H292&lt;4,"3.5-3.9",IF(H292&lt;4.5,"4.0-4.4","4.5+"))))</f>
        <v>Below 3.5</v>
      </c>
    </row>
    <row r="293" customFormat="false" ht="15" hidden="false" customHeight="false" outlineLevel="0" collapsed="false">
      <c r="A293" s="10" t="s">
        <v>606</v>
      </c>
      <c r="B293" s="10" t="s">
        <v>607</v>
      </c>
      <c r="C293" s="10" t="s">
        <v>48</v>
      </c>
      <c r="D293" s="10" t="s">
        <v>49</v>
      </c>
      <c r="E293" s="11" t="n">
        <v>1500</v>
      </c>
      <c r="F293" s="11" t="n">
        <v>609</v>
      </c>
      <c r="G293" s="12" t="n">
        <v>0.59</v>
      </c>
      <c r="H293" s="13" t="n">
        <v>4.5</v>
      </c>
      <c r="I293" s="11" t="n">
        <v>1029</v>
      </c>
      <c r="J293" s="11" t="n">
        <f aca="false">E293-F293</f>
        <v>891</v>
      </c>
      <c r="K293" s="10" t="str">
        <f aca="false">IF(G293&lt;0.2,"0-19%",IF(G293&lt;0.4,"20-39%",IF(G293&lt;0.6,"40-59%",IF(G293&lt;0.8,"60-79%","80%+"))))</f>
        <v>40-59%</v>
      </c>
      <c r="L293" s="10" t="str">
        <f aca="false">IF(H293="","No rating",IF(H293&lt;3.5,"Below 3.5",IF(H293&lt;4,"3.5-3.9",IF(H293&lt;4.5,"4.0-4.4","4.5+"))))</f>
        <v>4.5+</v>
      </c>
    </row>
    <row r="294" customFormat="false" ht="15" hidden="false" customHeight="false" outlineLevel="0" collapsed="false">
      <c r="A294" s="10" t="s">
        <v>608</v>
      </c>
      <c r="B294" s="10" t="s">
        <v>609</v>
      </c>
      <c r="C294" s="10" t="s">
        <v>48</v>
      </c>
      <c r="D294" s="10" t="s">
        <v>49</v>
      </c>
      <c r="E294" s="11" t="n">
        <v>54990</v>
      </c>
      <c r="F294" s="11" t="n">
        <v>32990</v>
      </c>
      <c r="G294" s="12" t="n">
        <v>0.4</v>
      </c>
      <c r="H294" s="13" t="n">
        <v>4.1</v>
      </c>
      <c r="I294" s="11" t="n">
        <v>1555</v>
      </c>
      <c r="J294" s="11" t="n">
        <f aca="false">E294-F294</f>
        <v>22000</v>
      </c>
      <c r="K294" s="10" t="str">
        <f aca="false">IF(G294&lt;0.2,"0-19%",IF(G294&lt;0.4,"20-39%",IF(G294&lt;0.6,"40-59%",IF(G294&lt;0.8,"60-79%","80%+"))))</f>
        <v>40-59%</v>
      </c>
      <c r="L294" s="10" t="str">
        <f aca="false">IF(H294="","No rating",IF(H294&lt;3.5,"Below 3.5",IF(H294&lt;4,"3.5-3.9",IF(H294&lt;4.5,"4.0-4.4","4.5+"))))</f>
        <v>4.0-4.4</v>
      </c>
    </row>
    <row r="295" customFormat="false" ht="15" hidden="false" customHeight="false" outlineLevel="0" collapsed="false">
      <c r="A295" s="10" t="s">
        <v>610</v>
      </c>
      <c r="B295" s="10" t="s">
        <v>611</v>
      </c>
      <c r="C295" s="10" t="s">
        <v>48</v>
      </c>
      <c r="D295" s="10" t="s">
        <v>49</v>
      </c>
      <c r="E295" s="11" t="n">
        <v>1999</v>
      </c>
      <c r="F295" s="11" t="n">
        <v>599</v>
      </c>
      <c r="G295" s="12" t="n">
        <v>0.7</v>
      </c>
      <c r="H295" s="13" t="n">
        <v>4.2</v>
      </c>
      <c r="I295" s="11" t="n">
        <v>47</v>
      </c>
      <c r="J295" s="11" t="n">
        <f aca="false">E295-F295</f>
        <v>1400</v>
      </c>
      <c r="K295" s="10" t="str">
        <f aca="false">IF(G295&lt;0.2,"0-19%",IF(G295&lt;0.4,"20-39%",IF(G295&lt;0.6,"40-59%",IF(G295&lt;0.8,"60-79%","80%+"))))</f>
        <v>60-79%</v>
      </c>
      <c r="L295" s="10" t="str">
        <f aca="false">IF(H295="","No rating",IF(H295&lt;3.5,"Below 3.5",IF(H295&lt;4,"3.5-3.9",IF(H295&lt;4.5,"4.0-4.4","4.5+"))))</f>
        <v>4.0-4.4</v>
      </c>
    </row>
    <row r="296" customFormat="false" ht="15" hidden="false" customHeight="false" outlineLevel="0" collapsed="false">
      <c r="A296" s="10" t="s">
        <v>612</v>
      </c>
      <c r="B296" s="10" t="s">
        <v>613</v>
      </c>
      <c r="C296" s="10" t="s">
        <v>21</v>
      </c>
      <c r="D296" s="10" t="s">
        <v>22</v>
      </c>
      <c r="E296" s="11" t="n">
        <v>899</v>
      </c>
      <c r="F296" s="11" t="n">
        <v>349</v>
      </c>
      <c r="G296" s="12" t="n">
        <v>0.61</v>
      </c>
      <c r="H296" s="13" t="n">
        <v>4.1</v>
      </c>
      <c r="I296" s="11" t="n">
        <v>14896</v>
      </c>
      <c r="J296" s="11" t="n">
        <f aca="false">E296-F296</f>
        <v>550</v>
      </c>
      <c r="K296" s="10" t="str">
        <f aca="false">IF(G296&lt;0.2,"0-19%",IF(G296&lt;0.4,"20-39%",IF(G296&lt;0.6,"40-59%",IF(G296&lt;0.8,"60-79%","80%+"))))</f>
        <v>60-79%</v>
      </c>
      <c r="L296" s="10" t="str">
        <f aca="false">IF(H296="","No rating",IF(H296&lt;3.5,"Below 3.5",IF(H296&lt;4,"3.5-3.9",IF(H296&lt;4.5,"4.0-4.4","4.5+"))))</f>
        <v>4.0-4.4</v>
      </c>
    </row>
    <row r="297" customFormat="false" ht="15" hidden="false" customHeight="false" outlineLevel="0" collapsed="false">
      <c r="A297" s="10" t="s">
        <v>614</v>
      </c>
      <c r="B297" s="10" t="s">
        <v>615</v>
      </c>
      <c r="C297" s="10" t="s">
        <v>48</v>
      </c>
      <c r="D297" s="10" t="s">
        <v>49</v>
      </c>
      <c r="E297" s="11" t="n">
        <v>50999</v>
      </c>
      <c r="F297" s="11" t="n">
        <v>29999</v>
      </c>
      <c r="G297" s="12" t="n">
        <v>0.41</v>
      </c>
      <c r="H297" s="13" t="n">
        <v>4.4</v>
      </c>
      <c r="I297" s="11" t="n">
        <v>1712</v>
      </c>
      <c r="J297" s="11" t="n">
        <f aca="false">E297-F297</f>
        <v>21000</v>
      </c>
      <c r="K297" s="10" t="str">
        <f aca="false">IF(G297&lt;0.2,"0-19%",IF(G297&lt;0.4,"20-39%",IF(G297&lt;0.6,"40-59%",IF(G297&lt;0.8,"60-79%","80%+"))))</f>
        <v>40-59%</v>
      </c>
      <c r="L297" s="10" t="str">
        <f aca="false">IF(H297="","No rating",IF(H297&lt;3.5,"Below 3.5",IF(H297&lt;4,"3.5-3.9",IF(H297&lt;4.5,"4.0-4.4","4.5+"))))</f>
        <v>4.0-4.4</v>
      </c>
    </row>
    <row r="298" customFormat="false" ht="15" hidden="false" customHeight="false" outlineLevel="0" collapsed="false">
      <c r="A298" s="10" t="s">
        <v>616</v>
      </c>
      <c r="B298" s="10" t="s">
        <v>512</v>
      </c>
      <c r="C298" s="10" t="s">
        <v>48</v>
      </c>
      <c r="D298" s="10" t="s">
        <v>49</v>
      </c>
      <c r="E298" s="11" t="n">
        <v>399</v>
      </c>
      <c r="F298" s="11" t="n">
        <v>199</v>
      </c>
      <c r="G298" s="12" t="n">
        <v>0.5</v>
      </c>
      <c r="H298" s="13" t="n">
        <v>4.2</v>
      </c>
      <c r="I298" s="11" t="n">
        <v>1335</v>
      </c>
      <c r="J298" s="11" t="n">
        <f aca="false">E298-F298</f>
        <v>200</v>
      </c>
      <c r="K298" s="10" t="str">
        <f aca="false">IF(G298&lt;0.2,"0-19%",IF(G298&lt;0.4,"20-39%",IF(G298&lt;0.6,"40-59%",IF(G298&lt;0.8,"60-79%","80%+"))))</f>
        <v>40-59%</v>
      </c>
      <c r="L298" s="10" t="str">
        <f aca="false">IF(H298="","No rating",IF(H298&lt;3.5,"Below 3.5",IF(H298&lt;4,"3.5-3.9",IF(H298&lt;4.5,"4.0-4.4","4.5+"))))</f>
        <v>4.0-4.4</v>
      </c>
    </row>
    <row r="299" customFormat="false" ht="15" hidden="false" customHeight="false" outlineLevel="0" collapsed="false">
      <c r="A299" s="10" t="s">
        <v>617</v>
      </c>
      <c r="B299" s="10" t="s">
        <v>618</v>
      </c>
      <c r="C299" s="10" t="s">
        <v>48</v>
      </c>
      <c r="D299" s="10" t="s">
        <v>49</v>
      </c>
      <c r="E299" s="11" t="n">
        <v>699</v>
      </c>
      <c r="F299" s="11" t="n">
        <v>349</v>
      </c>
      <c r="G299" s="12" t="n">
        <v>0.5</v>
      </c>
      <c r="H299" s="13" t="n">
        <v>3.9</v>
      </c>
      <c r="I299" s="11" t="n">
        <v>214</v>
      </c>
      <c r="J299" s="11" t="n">
        <f aca="false">E299-F299</f>
        <v>350</v>
      </c>
      <c r="K299" s="10" t="str">
        <f aca="false">IF(G299&lt;0.2,"0-19%",IF(G299&lt;0.4,"20-39%",IF(G299&lt;0.6,"40-59%",IF(G299&lt;0.8,"60-79%","80%+"))))</f>
        <v>40-59%</v>
      </c>
      <c r="L299" s="10" t="str">
        <f aca="false">IF(H299="","No rating",IF(H299&lt;3.5,"Below 3.5",IF(H299&lt;4,"3.5-3.9",IF(H299&lt;4.5,"4.0-4.4","4.5+"))))</f>
        <v>3.5-3.9</v>
      </c>
    </row>
    <row r="300" customFormat="false" ht="15" hidden="false" customHeight="false" outlineLevel="0" collapsed="false">
      <c r="A300" s="10" t="s">
        <v>619</v>
      </c>
      <c r="B300" s="10" t="s">
        <v>620</v>
      </c>
      <c r="C300" s="10" t="s">
        <v>48</v>
      </c>
      <c r="D300" s="10" t="s">
        <v>49</v>
      </c>
      <c r="E300" s="11" t="n">
        <v>4500</v>
      </c>
      <c r="F300" s="11" t="n">
        <v>1850</v>
      </c>
      <c r="G300" s="12" t="n">
        <v>0.59</v>
      </c>
      <c r="H300" s="13" t="n">
        <v>4</v>
      </c>
      <c r="I300" s="11" t="n">
        <v>184</v>
      </c>
      <c r="J300" s="11" t="n">
        <f aca="false">E300-F300</f>
        <v>2650</v>
      </c>
      <c r="K300" s="10" t="str">
        <f aca="false">IF(G300&lt;0.2,"0-19%",IF(G300&lt;0.4,"20-39%",IF(G300&lt;0.6,"40-59%",IF(G300&lt;0.8,"60-79%","80%+"))))</f>
        <v>40-59%</v>
      </c>
      <c r="L300" s="10" t="str">
        <f aca="false">IF(H300="","No rating",IF(H300&lt;3.5,"Below 3.5",IF(H300&lt;4,"3.5-3.9",IF(H300&lt;4.5,"4.0-4.4","4.5+"))))</f>
        <v>4.0-4.4</v>
      </c>
    </row>
    <row r="301" customFormat="false" ht="15" hidden="false" customHeight="false" outlineLevel="0" collapsed="false">
      <c r="A301" s="10" t="s">
        <v>621</v>
      </c>
      <c r="B301" s="10" t="s">
        <v>622</v>
      </c>
      <c r="C301" s="10" t="s">
        <v>48</v>
      </c>
      <c r="D301" s="10" t="s">
        <v>49</v>
      </c>
      <c r="E301" s="11" t="n">
        <v>28900</v>
      </c>
      <c r="F301" s="11" t="n">
        <v>13990</v>
      </c>
      <c r="G301" s="12" t="n">
        <v>0.52</v>
      </c>
      <c r="H301" s="13" t="n">
        <v>4.5</v>
      </c>
      <c r="I301" s="11" t="n">
        <v>7</v>
      </c>
      <c r="J301" s="11" t="n">
        <f aca="false">E301-F301</f>
        <v>14910</v>
      </c>
      <c r="K301" s="10" t="str">
        <f aca="false">IF(G301&lt;0.2,"0-19%",IF(G301&lt;0.4,"20-39%",IF(G301&lt;0.6,"40-59%",IF(G301&lt;0.8,"60-79%","80%+"))))</f>
        <v>40-59%</v>
      </c>
      <c r="L301" s="10" t="str">
        <f aca="false">IF(H301="","No rating",IF(H301&lt;3.5,"Below 3.5",IF(H301&lt;4,"3.5-3.9",IF(H301&lt;4.5,"4.0-4.4","4.5+"))))</f>
        <v>4.5+</v>
      </c>
    </row>
    <row r="302" customFormat="false" ht="15" hidden="false" customHeight="false" outlineLevel="0" collapsed="false">
      <c r="A302" s="10" t="s">
        <v>623</v>
      </c>
      <c r="B302" s="10" t="s">
        <v>624</v>
      </c>
      <c r="C302" s="10" t="s">
        <v>21</v>
      </c>
      <c r="D302" s="10" t="s">
        <v>22</v>
      </c>
      <c r="E302" s="11" t="n">
        <v>449</v>
      </c>
      <c r="F302" s="11" t="n">
        <v>129</v>
      </c>
      <c r="G302" s="12" t="n">
        <v>0.71</v>
      </c>
      <c r="H302" s="13" t="n">
        <v>3.7</v>
      </c>
      <c r="I302" s="11" t="n">
        <v>41</v>
      </c>
      <c r="J302" s="11" t="n">
        <f aca="false">E302-F302</f>
        <v>320</v>
      </c>
      <c r="K302" s="10" t="str">
        <f aca="false">IF(G302&lt;0.2,"0-19%",IF(G302&lt;0.4,"20-39%",IF(G302&lt;0.6,"40-59%",IF(G302&lt;0.8,"60-79%","80%+"))))</f>
        <v>60-79%</v>
      </c>
      <c r="L302" s="10" t="str">
        <f aca="false">IF(H302="","No rating",IF(H302&lt;3.5,"Below 3.5",IF(H302&lt;4,"3.5-3.9",IF(H302&lt;4.5,"4.0-4.4","4.5+"))))</f>
        <v>3.5-3.9</v>
      </c>
    </row>
    <row r="303" customFormat="false" ht="15" hidden="false" customHeight="false" outlineLevel="0" collapsed="false">
      <c r="A303" s="10" t="s">
        <v>625</v>
      </c>
      <c r="B303" s="10" t="s">
        <v>626</v>
      </c>
      <c r="C303" s="10" t="s">
        <v>48</v>
      </c>
      <c r="D303" s="10" t="s">
        <v>49</v>
      </c>
      <c r="E303" s="11" t="n">
        <v>999</v>
      </c>
      <c r="F303" s="11" t="n">
        <v>379</v>
      </c>
      <c r="G303" s="12" t="n">
        <v>0.62</v>
      </c>
      <c r="H303" s="13" t="n">
        <v>4.2</v>
      </c>
      <c r="I303" s="11" t="n">
        <v>12153</v>
      </c>
      <c r="J303" s="11" t="n">
        <f aca="false">E303-F303</f>
        <v>620</v>
      </c>
      <c r="K303" s="10" t="str">
        <f aca="false">IF(G303&lt;0.2,"0-19%",IF(G303&lt;0.4,"20-39%",IF(G303&lt;0.6,"40-59%",IF(G303&lt;0.8,"60-79%","80%+"))))</f>
        <v>60-79%</v>
      </c>
      <c r="L303" s="10" t="str">
        <f aca="false">IF(H303="","No rating",IF(H303&lt;3.5,"Below 3.5",IF(H303&lt;4,"3.5-3.9",IF(H303&lt;4.5,"4.0-4.4","4.5+"))))</f>
        <v>4.0-4.4</v>
      </c>
    </row>
    <row r="304" customFormat="false" ht="15" hidden="false" customHeight="false" outlineLevel="0" collapsed="false">
      <c r="A304" s="10" t="s">
        <v>627</v>
      </c>
      <c r="B304" s="10" t="s">
        <v>628</v>
      </c>
      <c r="C304" s="10" t="s">
        <v>48</v>
      </c>
      <c r="D304" s="10" t="s">
        <v>49</v>
      </c>
      <c r="E304" s="11" t="n">
        <v>499</v>
      </c>
      <c r="F304" s="11" t="n">
        <v>185</v>
      </c>
      <c r="G304" s="12" t="n">
        <v>0.63</v>
      </c>
      <c r="H304" s="13" t="n">
        <v>4.2</v>
      </c>
      <c r="I304" s="11" t="n">
        <v>25</v>
      </c>
      <c r="J304" s="11" t="n">
        <f aca="false">E304-F304</f>
        <v>314</v>
      </c>
      <c r="K304" s="10" t="str">
        <f aca="false">IF(G304&lt;0.2,"0-19%",IF(G304&lt;0.4,"20-39%",IF(G304&lt;0.6,"40-59%",IF(G304&lt;0.8,"60-79%","80%+"))))</f>
        <v>60-79%</v>
      </c>
      <c r="L304" s="10" t="str">
        <f aca="false">IF(H304="","No rating",IF(H304&lt;3.5,"Below 3.5",IF(H304&lt;4,"3.5-3.9",IF(H304&lt;4.5,"4.0-4.4","4.5+"))))</f>
        <v>4.0-4.4</v>
      </c>
    </row>
    <row r="305" customFormat="false" ht="15" hidden="false" customHeight="false" outlineLevel="0" collapsed="false">
      <c r="A305" s="10" t="s">
        <v>629</v>
      </c>
      <c r="B305" s="10" t="s">
        <v>630</v>
      </c>
      <c r="C305" s="10" t="s">
        <v>21</v>
      </c>
      <c r="D305" s="10" t="s">
        <v>39</v>
      </c>
      <c r="E305" s="11" t="n">
        <v>999</v>
      </c>
      <c r="F305" s="11" t="n">
        <v>218</v>
      </c>
      <c r="G305" s="12" t="n">
        <v>0.78</v>
      </c>
      <c r="H305" s="13" t="n">
        <v>4.2</v>
      </c>
      <c r="I305" s="11" t="n">
        <v>163</v>
      </c>
      <c r="J305" s="11" t="n">
        <f aca="false">E305-F305</f>
        <v>781</v>
      </c>
      <c r="K305" s="10" t="str">
        <f aca="false">IF(G305&lt;0.2,"0-19%",IF(G305&lt;0.4,"20-39%",IF(G305&lt;0.6,"40-59%",IF(G305&lt;0.8,"60-79%","80%+"))))</f>
        <v>60-79%</v>
      </c>
      <c r="L305" s="10" t="str">
        <f aca="false">IF(H305="","No rating",IF(H305&lt;3.5,"Below 3.5",IF(H305&lt;4,"3.5-3.9",IF(H305&lt;4.5,"4.0-4.4","4.5+"))))</f>
        <v>4.0-4.4</v>
      </c>
    </row>
    <row r="306" customFormat="false" ht="15" hidden="false" customHeight="false" outlineLevel="0" collapsed="false">
      <c r="A306" s="10" t="s">
        <v>631</v>
      </c>
      <c r="B306" s="10" t="s">
        <v>632</v>
      </c>
      <c r="C306" s="10" t="s">
        <v>21</v>
      </c>
      <c r="D306" s="10" t="s">
        <v>22</v>
      </c>
      <c r="E306" s="11" t="n">
        <v>999</v>
      </c>
      <c r="F306" s="11" t="n">
        <v>199</v>
      </c>
      <c r="G306" s="12" t="n">
        <v>0.8</v>
      </c>
      <c r="H306" s="13" t="n">
        <v>4.3</v>
      </c>
      <c r="I306" s="11" t="n">
        <v>87</v>
      </c>
      <c r="J306" s="11" t="n">
        <f aca="false">E306-F306</f>
        <v>800</v>
      </c>
      <c r="K306" s="10" t="str">
        <f aca="false">IF(G306&lt;0.2,"0-19%",IF(G306&lt;0.4,"20-39%",IF(G306&lt;0.6,"40-59%",IF(G306&lt;0.8,"60-79%","80%+"))))</f>
        <v>80%+</v>
      </c>
      <c r="L306" s="10" t="str">
        <f aca="false">IF(H306="","No rating",IF(H306&lt;3.5,"Below 3.5",IF(H306&lt;4,"3.5-3.9",IF(H306&lt;4.5,"4.0-4.4","4.5+"))))</f>
        <v>4.0-4.4</v>
      </c>
    </row>
    <row r="307" customFormat="false" ht="15" hidden="false" customHeight="false" outlineLevel="0" collapsed="false">
      <c r="A307" s="10" t="s">
        <v>633</v>
      </c>
      <c r="B307" s="10" t="s">
        <v>634</v>
      </c>
      <c r="C307" s="10" t="s">
        <v>48</v>
      </c>
      <c r="D307" s="10" t="s">
        <v>49</v>
      </c>
      <c r="E307" s="11" t="n">
        <v>900</v>
      </c>
      <c r="F307" s="11" t="n">
        <v>499</v>
      </c>
      <c r="G307" s="12" t="n">
        <v>0.45</v>
      </c>
      <c r="H307" s="13" t="n">
        <v>4.4</v>
      </c>
      <c r="I307" s="11" t="n">
        <v>2165</v>
      </c>
      <c r="J307" s="11" t="n">
        <f aca="false">E307-F307</f>
        <v>401</v>
      </c>
      <c r="K307" s="10" t="str">
        <f aca="false">IF(G307&lt;0.2,"0-19%",IF(G307&lt;0.4,"20-39%",IF(G307&lt;0.6,"40-59%",IF(G307&lt;0.8,"60-79%","80%+"))))</f>
        <v>40-59%</v>
      </c>
      <c r="L307" s="10" t="str">
        <f aca="false">IF(H307="","No rating",IF(H307&lt;3.5,"Below 3.5",IF(H307&lt;4,"3.5-3.9",IF(H307&lt;4.5,"4.0-4.4","4.5+"))))</f>
        <v>4.0-4.4</v>
      </c>
    </row>
    <row r="308" customFormat="false" ht="15" hidden="false" customHeight="false" outlineLevel="0" collapsed="false">
      <c r="A308" s="10" t="s">
        <v>635</v>
      </c>
      <c r="B308" s="10" t="s">
        <v>636</v>
      </c>
      <c r="C308" s="10" t="s">
        <v>48</v>
      </c>
      <c r="D308" s="10" t="s">
        <v>49</v>
      </c>
      <c r="E308" s="11" t="n">
        <v>42999</v>
      </c>
      <c r="F308" s="11" t="n">
        <v>26999</v>
      </c>
      <c r="G308" s="12" t="n">
        <v>0.37</v>
      </c>
      <c r="H308" s="13" t="n">
        <v>4.2</v>
      </c>
      <c r="I308" s="11" t="n">
        <v>1510</v>
      </c>
      <c r="J308" s="11" t="n">
        <f aca="false">E308-F308</f>
        <v>16000</v>
      </c>
      <c r="K308" s="10" t="str">
        <f aca="false">IF(G308&lt;0.2,"0-19%",IF(G308&lt;0.4,"20-39%",IF(G308&lt;0.6,"40-59%",IF(G308&lt;0.8,"60-79%","80%+"))))</f>
        <v>20-39%</v>
      </c>
      <c r="L308" s="10" t="str">
        <f aca="false">IF(H308="","No rating",IF(H308&lt;3.5,"Below 3.5",IF(H308&lt;4,"3.5-3.9",IF(H308&lt;4.5,"4.0-4.4","4.5+"))))</f>
        <v>4.0-4.4</v>
      </c>
    </row>
    <row r="309" customFormat="false" ht="15" hidden="false" customHeight="false" outlineLevel="0" collapsed="false">
      <c r="A309" s="10" t="s">
        <v>637</v>
      </c>
      <c r="B309" s="10" t="s">
        <v>638</v>
      </c>
      <c r="C309" s="10" t="s">
        <v>48</v>
      </c>
      <c r="D309" s="10" t="s">
        <v>49</v>
      </c>
      <c r="E309" s="11" t="n">
        <v>1052</v>
      </c>
      <c r="F309" s="11" t="n">
        <v>893</v>
      </c>
      <c r="G309" s="12" t="n">
        <v>0.15</v>
      </c>
      <c r="H309" s="13" t="n">
        <v>4.3</v>
      </c>
      <c r="I309" s="11" t="n">
        <v>106</v>
      </c>
      <c r="J309" s="11" t="n">
        <f aca="false">E309-F309</f>
        <v>159</v>
      </c>
      <c r="K309" s="10" t="str">
        <f aca="false">IF(G309&lt;0.2,"0-19%",IF(G309&lt;0.4,"20-39%",IF(G309&lt;0.6,"40-59%",IF(G309&lt;0.8,"60-79%","80%+"))))</f>
        <v>0-19%</v>
      </c>
      <c r="L309" s="10" t="str">
        <f aca="false">IF(H309="","No rating",IF(H309&lt;3.5,"Below 3.5",IF(H309&lt;4,"3.5-3.9",IF(H309&lt;4.5,"4.0-4.4","4.5+"))))</f>
        <v>4.0-4.4</v>
      </c>
    </row>
    <row r="310" customFormat="false" ht="15" hidden="false" customHeight="false" outlineLevel="0" collapsed="false">
      <c r="A310" s="10" t="s">
        <v>639</v>
      </c>
      <c r="B310" s="10" t="s">
        <v>640</v>
      </c>
      <c r="C310" s="10" t="s">
        <v>48</v>
      </c>
      <c r="D310" s="10" t="s">
        <v>49</v>
      </c>
      <c r="E310" s="11" t="n">
        <v>19990</v>
      </c>
      <c r="F310" s="11" t="n">
        <v>10990</v>
      </c>
      <c r="G310" s="12" t="n">
        <v>0.45</v>
      </c>
      <c r="H310" s="13" t="n">
        <v>3.7</v>
      </c>
      <c r="I310" s="11" t="n">
        <v>129</v>
      </c>
      <c r="J310" s="11" t="n">
        <f aca="false">E310-F310</f>
        <v>9000</v>
      </c>
      <c r="K310" s="10" t="str">
        <f aca="false">IF(G310&lt;0.2,"0-19%",IF(G310&lt;0.4,"20-39%",IF(G310&lt;0.6,"40-59%",IF(G310&lt;0.8,"60-79%","80%+"))))</f>
        <v>40-59%</v>
      </c>
      <c r="L310" s="10" t="str">
        <f aca="false">IF(H310="","No rating",IF(H310&lt;3.5,"Below 3.5",IF(H310&lt;4,"3.5-3.9",IF(H310&lt;4.5,"4.0-4.4","4.5+"))))</f>
        <v>3.5-3.9</v>
      </c>
    </row>
    <row r="311" customFormat="false" ht="15" hidden="false" customHeight="false" outlineLevel="0" collapsed="false">
      <c r="A311" s="10" t="s">
        <v>641</v>
      </c>
      <c r="B311" s="10" t="s">
        <v>642</v>
      </c>
      <c r="C311" s="10" t="s">
        <v>21</v>
      </c>
      <c r="D311" s="10" t="s">
        <v>22</v>
      </c>
      <c r="E311" s="11" t="n">
        <v>1099</v>
      </c>
      <c r="F311" s="11" t="n">
        <v>379</v>
      </c>
      <c r="G311" s="12" t="n">
        <v>0.66</v>
      </c>
      <c r="H311" s="13" t="n">
        <v>4.3</v>
      </c>
      <c r="I311" s="11" t="n">
        <v>3049</v>
      </c>
      <c r="J311" s="11" t="n">
        <f aca="false">E311-F311</f>
        <v>720</v>
      </c>
      <c r="K311" s="10" t="str">
        <f aca="false">IF(G311&lt;0.2,"0-19%",IF(G311&lt;0.4,"20-39%",IF(G311&lt;0.6,"40-59%",IF(G311&lt;0.8,"60-79%","80%+"))))</f>
        <v>60-79%</v>
      </c>
      <c r="L311" s="10" t="str">
        <f aca="false">IF(H311="","No rating",IF(H311&lt;3.5,"Below 3.5",IF(H311&lt;4,"3.5-3.9",IF(H311&lt;4.5,"4.0-4.4","4.5+"))))</f>
        <v>4.0-4.4</v>
      </c>
    </row>
    <row r="312" customFormat="false" ht="15" hidden="false" customHeight="false" outlineLevel="0" collapsed="false">
      <c r="A312" s="10" t="s">
        <v>643</v>
      </c>
      <c r="B312" s="10" t="s">
        <v>644</v>
      </c>
      <c r="C312" s="10" t="s">
        <v>48</v>
      </c>
      <c r="D312" s="10" t="s">
        <v>49</v>
      </c>
      <c r="E312" s="11" t="n">
        <v>25999</v>
      </c>
      <c r="F312" s="11" t="n">
        <v>16999</v>
      </c>
      <c r="G312" s="12" t="n">
        <v>0.35</v>
      </c>
      <c r="H312" s="13" t="n">
        <v>4.2</v>
      </c>
      <c r="I312" s="11" t="n">
        <v>32840</v>
      </c>
      <c r="J312" s="11" t="n">
        <f aca="false">E312-F312</f>
        <v>9000</v>
      </c>
      <c r="K312" s="10" t="str">
        <f aca="false">IF(G312&lt;0.2,"0-19%",IF(G312&lt;0.4,"20-39%",IF(G312&lt;0.6,"40-59%",IF(G312&lt;0.8,"60-79%","80%+"))))</f>
        <v>20-39%</v>
      </c>
      <c r="L312" s="10" t="str">
        <f aca="false">IF(H312="","No rating",IF(H312&lt;3.5,"Below 3.5",IF(H312&lt;4,"3.5-3.9",IF(H312&lt;4.5,"4.0-4.4","4.5+"))))</f>
        <v>4.0-4.4</v>
      </c>
    </row>
    <row r="313" customFormat="false" ht="15" hidden="false" customHeight="false" outlineLevel="0" collapsed="false">
      <c r="A313" s="10" t="s">
        <v>645</v>
      </c>
      <c r="B313" s="10" t="s">
        <v>646</v>
      </c>
      <c r="C313" s="10" t="s">
        <v>48</v>
      </c>
      <c r="D313" s="10" t="s">
        <v>49</v>
      </c>
      <c r="E313" s="11" t="n">
        <v>1899</v>
      </c>
      <c r="F313" s="11" t="n">
        <v>699</v>
      </c>
      <c r="G313" s="12" t="n">
        <v>0.63</v>
      </c>
      <c r="H313" s="13" t="n">
        <v>4.4</v>
      </c>
      <c r="I313" s="11" t="n">
        <v>390</v>
      </c>
      <c r="J313" s="11" t="n">
        <f aca="false">E313-F313</f>
        <v>1200</v>
      </c>
      <c r="K313" s="10" t="str">
        <f aca="false">IF(G313&lt;0.2,"0-19%",IF(G313&lt;0.4,"20-39%",IF(G313&lt;0.6,"40-59%",IF(G313&lt;0.8,"60-79%","80%+"))))</f>
        <v>60-79%</v>
      </c>
      <c r="L313" s="10" t="str">
        <f aca="false">IF(H313="","No rating",IF(H313&lt;3.5,"Below 3.5",IF(H313&lt;4,"3.5-3.9",IF(H313&lt;4.5,"4.0-4.4","4.5+"))))</f>
        <v>4.0-4.4</v>
      </c>
    </row>
    <row r="314" customFormat="false" ht="15" hidden="false" customHeight="false" outlineLevel="0" collapsed="false">
      <c r="A314" s="10" t="s">
        <v>647</v>
      </c>
      <c r="B314" s="10" t="s">
        <v>648</v>
      </c>
      <c r="C314" s="10" t="s">
        <v>48</v>
      </c>
      <c r="D314" s="10" t="s">
        <v>49</v>
      </c>
      <c r="E314" s="11" t="n">
        <v>3500</v>
      </c>
      <c r="F314" s="11" t="n">
        <v>2699</v>
      </c>
      <c r="G314" s="12" t="n">
        <v>0.23</v>
      </c>
      <c r="H314" s="13" t="n">
        <v>3.5</v>
      </c>
      <c r="I314" s="11" t="n">
        <v>621</v>
      </c>
      <c r="J314" s="11" t="n">
        <f aca="false">E314-F314</f>
        <v>801</v>
      </c>
      <c r="K314" s="10" t="str">
        <f aca="false">IF(G314&lt;0.2,"0-19%",IF(G314&lt;0.4,"20-39%",IF(G314&lt;0.6,"40-59%",IF(G314&lt;0.8,"60-79%","80%+"))))</f>
        <v>20-39%</v>
      </c>
      <c r="L314" s="10" t="str">
        <f aca="false">IF(H314="","No rating",IF(H314&lt;3.5,"Below 3.5",IF(H314&lt;4,"3.5-3.9",IF(H314&lt;4.5,"4.0-4.4","4.5+"))))</f>
        <v>3.5-3.9</v>
      </c>
    </row>
    <row r="315" customFormat="false" ht="15" hidden="false" customHeight="false" outlineLevel="0" collapsed="false">
      <c r="A315" s="10" t="s">
        <v>649</v>
      </c>
      <c r="B315" s="10" t="s">
        <v>650</v>
      </c>
      <c r="C315" s="10" t="s">
        <v>21</v>
      </c>
      <c r="D315" s="10" t="s">
        <v>22</v>
      </c>
      <c r="E315" s="11" t="n">
        <v>599</v>
      </c>
      <c r="F315" s="11" t="n">
        <v>129</v>
      </c>
      <c r="G315" s="12" t="n">
        <v>0.78</v>
      </c>
      <c r="H315" s="13" t="n">
        <v>4.1</v>
      </c>
      <c r="I315" s="11" t="n">
        <v>265</v>
      </c>
      <c r="J315" s="11" t="n">
        <f aca="false">E315-F315</f>
        <v>470</v>
      </c>
      <c r="K315" s="10" t="str">
        <f aca="false">IF(G315&lt;0.2,"0-19%",IF(G315&lt;0.4,"20-39%",IF(G315&lt;0.6,"40-59%",IF(G315&lt;0.8,"60-79%","80%+"))))</f>
        <v>60-79%</v>
      </c>
      <c r="L315" s="10" t="str">
        <f aca="false">IF(H315="","No rating",IF(H315&lt;3.5,"Below 3.5",IF(H315&lt;4,"3.5-3.9",IF(H315&lt;4.5,"4.0-4.4","4.5+"))))</f>
        <v>4.0-4.4</v>
      </c>
    </row>
    <row r="316" customFormat="false" ht="15" hidden="false" customHeight="false" outlineLevel="0" collapsed="false">
      <c r="A316" s="10" t="s">
        <v>651</v>
      </c>
      <c r="B316" s="10" t="s">
        <v>652</v>
      </c>
      <c r="C316" s="10" t="s">
        <v>21</v>
      </c>
      <c r="D316" s="10" t="s">
        <v>22</v>
      </c>
      <c r="E316" s="11" t="n">
        <v>999</v>
      </c>
      <c r="F316" s="11" t="n">
        <v>389</v>
      </c>
      <c r="G316" s="12" t="n">
        <v>0.61</v>
      </c>
      <c r="H316" s="13" t="n">
        <v>4.3</v>
      </c>
      <c r="I316" s="11" t="n">
        <v>838</v>
      </c>
      <c r="J316" s="11" t="n">
        <f aca="false">E316-F316</f>
        <v>610</v>
      </c>
      <c r="K316" s="10" t="str">
        <f aca="false">IF(G316&lt;0.2,"0-19%",IF(G316&lt;0.4,"20-39%",IF(G316&lt;0.6,"40-59%",IF(G316&lt;0.8,"60-79%","80%+"))))</f>
        <v>60-79%</v>
      </c>
      <c r="L316" s="10" t="str">
        <f aca="false">IF(H316="","No rating",IF(H316&lt;3.5,"Below 3.5",IF(H316&lt;4,"3.5-3.9",IF(H316&lt;4.5,"4.0-4.4","4.5+"))))</f>
        <v>4.0-4.4</v>
      </c>
    </row>
    <row r="317" customFormat="false" ht="15" hidden="false" customHeight="false" outlineLevel="0" collapsed="false">
      <c r="A317" s="10" t="s">
        <v>653</v>
      </c>
      <c r="B317" s="10" t="s">
        <v>654</v>
      </c>
      <c r="C317" s="10" t="s">
        <v>48</v>
      </c>
      <c r="D317" s="10" t="s">
        <v>49</v>
      </c>
      <c r="E317" s="11" t="n">
        <v>600</v>
      </c>
      <c r="F317" s="11" t="n">
        <v>246</v>
      </c>
      <c r="G317" s="12" t="n">
        <v>0.59</v>
      </c>
      <c r="H317" s="13" t="n">
        <v>4.2</v>
      </c>
      <c r="I317" s="11" t="n">
        <v>143</v>
      </c>
      <c r="J317" s="11" t="n">
        <f aca="false">E317-F317</f>
        <v>354</v>
      </c>
      <c r="K317" s="10" t="str">
        <f aca="false">IF(G317&lt;0.2,"0-19%",IF(G317&lt;0.4,"20-39%",IF(G317&lt;0.6,"40-59%",IF(G317&lt;0.8,"60-79%","80%+"))))</f>
        <v>40-59%</v>
      </c>
      <c r="L317" s="10" t="str">
        <f aca="false">IF(H317="","No rating",IF(H317&lt;3.5,"Below 3.5",IF(H317&lt;4,"3.5-3.9",IF(H317&lt;4.5,"4.0-4.4","4.5+"))))</f>
        <v>4.0-4.4</v>
      </c>
    </row>
    <row r="318" customFormat="false" ht="15" hidden="false" customHeight="false" outlineLevel="0" collapsed="false">
      <c r="A318" s="10" t="s">
        <v>655</v>
      </c>
      <c r="B318" s="10" t="s">
        <v>656</v>
      </c>
      <c r="C318" s="10" t="s">
        <v>21</v>
      </c>
      <c r="D318" s="10" t="s">
        <v>22</v>
      </c>
      <c r="E318" s="11" t="n">
        <v>799</v>
      </c>
      <c r="F318" s="11" t="n">
        <v>299</v>
      </c>
      <c r="G318" s="12" t="n">
        <v>0.63</v>
      </c>
      <c r="H318" s="13" t="n">
        <v>4</v>
      </c>
      <c r="I318" s="11" t="n">
        <v>151</v>
      </c>
      <c r="J318" s="11" t="n">
        <f aca="false">E318-F318</f>
        <v>500</v>
      </c>
      <c r="K318" s="10" t="str">
        <f aca="false">IF(G318&lt;0.2,"0-19%",IF(G318&lt;0.4,"20-39%",IF(G318&lt;0.6,"40-59%",IF(G318&lt;0.8,"60-79%","80%+"))))</f>
        <v>60-79%</v>
      </c>
      <c r="L318" s="10" t="str">
        <f aca="false">IF(H318="","No rating",IF(H318&lt;3.5,"Below 3.5",IF(H318&lt;4,"3.5-3.9",IF(H318&lt;4.5,"4.0-4.4","4.5+"))))</f>
        <v>4.0-4.4</v>
      </c>
    </row>
    <row r="319" customFormat="false" ht="15" hidden="false" customHeight="false" outlineLevel="0" collapsed="false">
      <c r="A319" s="10" t="s">
        <v>657</v>
      </c>
      <c r="B319" s="10" t="s">
        <v>658</v>
      </c>
      <c r="C319" s="10" t="s">
        <v>48</v>
      </c>
      <c r="D319" s="10" t="s">
        <v>49</v>
      </c>
      <c r="E319" s="11" t="n">
        <v>399</v>
      </c>
      <c r="F319" s="11" t="n">
        <v>247</v>
      </c>
      <c r="G319" s="12" t="n">
        <v>0.38</v>
      </c>
      <c r="H319" s="13" t="n">
        <v>3.9</v>
      </c>
      <c r="I319" s="11" t="n">
        <v>200</v>
      </c>
      <c r="J319" s="11" t="n">
        <f aca="false">E319-F319</f>
        <v>152</v>
      </c>
      <c r="K319" s="10" t="str">
        <f aca="false">IF(G319&lt;0.2,"0-19%",IF(G319&lt;0.4,"20-39%",IF(G319&lt;0.6,"40-59%",IF(G319&lt;0.8,"60-79%","80%+"))))</f>
        <v>20-39%</v>
      </c>
      <c r="L319" s="10" t="str">
        <f aca="false">IF(H319="","No rating",IF(H319&lt;3.5,"Below 3.5",IF(H319&lt;4,"3.5-3.9",IF(H319&lt;4.5,"4.0-4.4","4.5+"))))</f>
        <v>3.5-3.9</v>
      </c>
    </row>
    <row r="320" customFormat="false" ht="15" hidden="false" customHeight="false" outlineLevel="0" collapsed="false">
      <c r="A320" s="10" t="s">
        <v>659</v>
      </c>
      <c r="B320" s="10" t="s">
        <v>660</v>
      </c>
      <c r="C320" s="10" t="s">
        <v>48</v>
      </c>
      <c r="D320" s="10" t="s">
        <v>49</v>
      </c>
      <c r="E320" s="11" t="n">
        <v>2999</v>
      </c>
      <c r="F320" s="11" t="n">
        <v>1369</v>
      </c>
      <c r="G320" s="12" t="n">
        <v>0.54</v>
      </c>
      <c r="H320" s="13" t="n">
        <v>3.3</v>
      </c>
      <c r="I320" s="11" t="n">
        <v>227</v>
      </c>
      <c r="J320" s="11" t="n">
        <f aca="false">E320-F320</f>
        <v>1630</v>
      </c>
      <c r="K320" s="10" t="str">
        <f aca="false">IF(G320&lt;0.2,"0-19%",IF(G320&lt;0.4,"20-39%",IF(G320&lt;0.6,"40-59%",IF(G320&lt;0.8,"60-79%","80%+"))))</f>
        <v>40-59%</v>
      </c>
      <c r="L320" s="10" t="str">
        <f aca="false">IF(H320="","No rating",IF(H320&lt;3.5,"Below 3.5",IF(H320&lt;4,"3.5-3.9",IF(H320&lt;4.5,"4.0-4.4","4.5+"))))</f>
        <v>Below 3.5</v>
      </c>
    </row>
    <row r="321" customFormat="false" ht="15" hidden="false" customHeight="false" outlineLevel="0" collapsed="false">
      <c r="A321" s="10" t="s">
        <v>661</v>
      </c>
      <c r="B321" s="10" t="s">
        <v>662</v>
      </c>
      <c r="C321" s="10" t="s">
        <v>48</v>
      </c>
      <c r="D321" s="10" t="s">
        <v>49</v>
      </c>
      <c r="E321" s="11" t="n">
        <v>499</v>
      </c>
      <c r="F321" s="11" t="n">
        <v>199</v>
      </c>
      <c r="G321" s="12" t="n">
        <v>0.6</v>
      </c>
      <c r="H321" s="13" t="n">
        <v>3.8</v>
      </c>
      <c r="I321" s="11" t="n">
        <v>538</v>
      </c>
      <c r="J321" s="11" t="n">
        <f aca="false">E321-F321</f>
        <v>300</v>
      </c>
      <c r="K321" s="10" t="str">
        <f aca="false">IF(G321&lt;0.2,"0-19%",IF(G321&lt;0.4,"20-39%",IF(G321&lt;0.6,"40-59%",IF(G321&lt;0.8,"60-79%","80%+"))))</f>
        <v>60-79%</v>
      </c>
      <c r="L321" s="10" t="str">
        <f aca="false">IF(H321="","No rating",IF(H321&lt;3.5,"Below 3.5",IF(H321&lt;4,"3.5-3.9",IF(H321&lt;4.5,"4.0-4.4","4.5+"))))</f>
        <v>3.5-3.9</v>
      </c>
    </row>
    <row r="322" customFormat="false" ht="15" hidden="false" customHeight="false" outlineLevel="0" collapsed="false">
      <c r="A322" s="10" t="s">
        <v>663</v>
      </c>
      <c r="B322" s="10" t="s">
        <v>664</v>
      </c>
      <c r="C322" s="10" t="s">
        <v>48</v>
      </c>
      <c r="D322" s="10" t="s">
        <v>49</v>
      </c>
      <c r="E322" s="11" t="n">
        <v>599</v>
      </c>
      <c r="F322" s="11" t="n">
        <v>299</v>
      </c>
      <c r="G322" s="12" t="n">
        <v>0.5</v>
      </c>
      <c r="H322" s="13" t="n">
        <v>4</v>
      </c>
      <c r="I322" s="11" t="n">
        <v>171</v>
      </c>
      <c r="J322" s="11" t="n">
        <f aca="false">E322-F322</f>
        <v>300</v>
      </c>
      <c r="K322" s="10" t="str">
        <f aca="false">IF(G322&lt;0.2,"0-19%",IF(G322&lt;0.4,"20-39%",IF(G322&lt;0.6,"40-59%",IF(G322&lt;0.8,"60-79%","80%+"))))</f>
        <v>40-59%</v>
      </c>
      <c r="L322" s="10" t="str">
        <f aca="false">IF(H322="","No rating",IF(H322&lt;3.5,"Below 3.5",IF(H322&lt;4,"3.5-3.9",IF(H322&lt;4.5,"4.0-4.4","4.5+"))))</f>
        <v>4.0-4.4</v>
      </c>
    </row>
    <row r="323" customFormat="false" ht="15" hidden="false" customHeight="false" outlineLevel="0" collapsed="false">
      <c r="A323" s="10" t="s">
        <v>665</v>
      </c>
      <c r="B323" s="10" t="s">
        <v>666</v>
      </c>
      <c r="C323" s="10" t="s">
        <v>48</v>
      </c>
      <c r="D323" s="10" t="s">
        <v>49</v>
      </c>
      <c r="E323" s="11" t="n">
        <v>14999</v>
      </c>
      <c r="F323" s="11" t="n">
        <v>14999</v>
      </c>
      <c r="G323" s="12" t="n">
        <v>0</v>
      </c>
      <c r="H323" s="13" t="n">
        <v>4.3</v>
      </c>
      <c r="I323" s="11" t="n">
        <v>27508</v>
      </c>
      <c r="J323" s="11" t="n">
        <f aca="false">E323-F323</f>
        <v>0</v>
      </c>
      <c r="K323" s="10" t="str">
        <f aca="false">IF(G323&lt;0.2,"0-19%",IF(G323&lt;0.4,"20-39%",IF(G323&lt;0.6,"40-59%",IF(G323&lt;0.8,"60-79%","80%+"))))</f>
        <v>0-19%</v>
      </c>
      <c r="L323" s="10" t="str">
        <f aca="false">IF(H323="","No rating",IF(H323&lt;3.5,"Below 3.5",IF(H323&lt;4,"3.5-3.9",IF(H323&lt;4.5,"4.0-4.4","4.5+"))))</f>
        <v>4.0-4.4</v>
      </c>
    </row>
    <row r="324" customFormat="false" ht="15" hidden="false" customHeight="false" outlineLevel="0" collapsed="false">
      <c r="A324" s="10" t="s">
        <v>667</v>
      </c>
      <c r="B324" s="10" t="s">
        <v>668</v>
      </c>
      <c r="C324" s="10" t="s">
        <v>21</v>
      </c>
      <c r="D324" s="10" t="s">
        <v>22</v>
      </c>
      <c r="E324" s="11" t="n">
        <v>699</v>
      </c>
      <c r="F324" s="11" t="n">
        <v>299</v>
      </c>
      <c r="G324" s="12" t="n">
        <v>0.57</v>
      </c>
      <c r="H324" s="13" t="n">
        <v>3.9</v>
      </c>
      <c r="I324" s="11" t="n">
        <v>1454</v>
      </c>
      <c r="J324" s="11" t="n">
        <f aca="false">E324-F324</f>
        <v>400</v>
      </c>
      <c r="K324" s="10" t="str">
        <f aca="false">IF(G324&lt;0.2,"0-19%",IF(G324&lt;0.4,"20-39%",IF(G324&lt;0.6,"40-59%",IF(G324&lt;0.8,"60-79%","80%+"))))</f>
        <v>40-59%</v>
      </c>
      <c r="L324" s="10" t="str">
        <f aca="false">IF(H324="","No rating",IF(H324&lt;3.5,"Below 3.5",IF(H324&lt;4,"3.5-3.9",IF(H324&lt;4.5,"4.0-4.4","4.5+"))))</f>
        <v>3.5-3.9</v>
      </c>
    </row>
    <row r="325" customFormat="false" ht="15" hidden="false" customHeight="false" outlineLevel="0" collapsed="false">
      <c r="A325" s="10" t="s">
        <v>669</v>
      </c>
      <c r="B325" s="10" t="s">
        <v>670</v>
      </c>
      <c r="C325" s="10" t="s">
        <v>48</v>
      </c>
      <c r="D325" s="10" t="s">
        <v>49</v>
      </c>
      <c r="E325" s="11" t="n">
        <v>51990</v>
      </c>
      <c r="F325" s="11" t="n">
        <v>24990</v>
      </c>
      <c r="G325" s="12" t="n">
        <v>0.52</v>
      </c>
      <c r="H325" s="13" t="n">
        <v>4.2</v>
      </c>
      <c r="I325" s="11" t="n">
        <v>2951</v>
      </c>
      <c r="J325" s="11" t="n">
        <f aca="false">E325-F325</f>
        <v>27000</v>
      </c>
      <c r="K325" s="10" t="str">
        <f aca="false">IF(G325&lt;0.2,"0-19%",IF(G325&lt;0.4,"20-39%",IF(G325&lt;0.6,"40-59%",IF(G325&lt;0.8,"60-79%","80%+"))))</f>
        <v>40-59%</v>
      </c>
      <c r="L325" s="10" t="str">
        <f aca="false">IF(H325="","No rating",IF(H325&lt;3.5,"Below 3.5",IF(H325&lt;4,"3.5-3.9",IF(H325&lt;4.5,"4.0-4.4","4.5+"))))</f>
        <v>4.0-4.4</v>
      </c>
    </row>
    <row r="326" customFormat="false" ht="15" hidden="false" customHeight="false" outlineLevel="0" collapsed="false">
      <c r="A326" s="10" t="s">
        <v>671</v>
      </c>
      <c r="B326" s="10" t="s">
        <v>672</v>
      </c>
      <c r="C326" s="10" t="s">
        <v>21</v>
      </c>
      <c r="D326" s="10" t="s">
        <v>22</v>
      </c>
      <c r="E326" s="11" t="n">
        <v>999</v>
      </c>
      <c r="F326" s="11" t="n">
        <v>249</v>
      </c>
      <c r="G326" s="12" t="n">
        <v>0.75</v>
      </c>
      <c r="H326" s="13" t="n">
        <v>5</v>
      </c>
      <c r="I326" s="11"/>
      <c r="J326" s="11" t="n">
        <f aca="false">E326-F326</f>
        <v>750</v>
      </c>
      <c r="K326" s="10" t="str">
        <f aca="false">IF(G326&lt;0.2,"0-19%",IF(G326&lt;0.4,"20-39%",IF(G326&lt;0.6,"40-59%",IF(G326&lt;0.8,"60-79%","80%+"))))</f>
        <v>60-79%</v>
      </c>
      <c r="L326" s="10" t="str">
        <f aca="false">IF(H326="","No rating",IF(H326&lt;3.5,"Below 3.5",IF(H326&lt;4,"3.5-3.9",IF(H326&lt;4.5,"4.0-4.4","4.5+"))))</f>
        <v>4.5+</v>
      </c>
    </row>
    <row r="327" customFormat="false" ht="15" hidden="false" customHeight="false" outlineLevel="0" collapsed="false">
      <c r="A327" s="10" t="s">
        <v>673</v>
      </c>
      <c r="B327" s="10" t="s">
        <v>674</v>
      </c>
      <c r="C327" s="10" t="s">
        <v>48</v>
      </c>
      <c r="D327" s="10" t="s">
        <v>49</v>
      </c>
      <c r="E327" s="11" t="n">
        <v>69999</v>
      </c>
      <c r="F327" s="11" t="n">
        <v>61999</v>
      </c>
      <c r="G327" s="12" t="n">
        <v>0.11</v>
      </c>
      <c r="H327" s="13" t="n">
        <v>4.1</v>
      </c>
      <c r="I327" s="11" t="n">
        <v>6753</v>
      </c>
      <c r="J327" s="11" t="n">
        <f aca="false">E327-F327</f>
        <v>8000</v>
      </c>
      <c r="K327" s="10" t="str">
        <f aca="false">IF(G327&lt;0.2,"0-19%",IF(G327&lt;0.4,"20-39%",IF(G327&lt;0.6,"40-59%",IF(G327&lt;0.8,"60-79%","80%+"))))</f>
        <v>0-19%</v>
      </c>
      <c r="L327" s="10" t="str">
        <f aca="false">IF(H327="","No rating",IF(H327&lt;3.5,"Below 3.5",IF(H327&lt;4,"3.5-3.9",IF(H327&lt;4.5,"4.0-4.4","4.5+"))))</f>
        <v>4.0-4.4</v>
      </c>
    </row>
    <row r="328" customFormat="false" ht="15" hidden="false" customHeight="false" outlineLevel="0" collapsed="false">
      <c r="A328" s="10" t="s">
        <v>675</v>
      </c>
      <c r="B328" s="10" t="s">
        <v>676</v>
      </c>
      <c r="C328" s="10" t="s">
        <v>48</v>
      </c>
      <c r="D328" s="10" t="s">
        <v>49</v>
      </c>
      <c r="E328" s="11" t="n">
        <v>50000</v>
      </c>
      <c r="F328" s="11" t="n">
        <v>24499</v>
      </c>
      <c r="G328" s="12" t="n">
        <v>0.51</v>
      </c>
      <c r="H328" s="13" t="n">
        <v>3.9</v>
      </c>
      <c r="I328" s="11" t="n">
        <v>3518</v>
      </c>
      <c r="J328" s="11" t="n">
        <f aca="false">E328-F328</f>
        <v>25501</v>
      </c>
      <c r="K328" s="10" t="str">
        <f aca="false">IF(G328&lt;0.2,"0-19%",IF(G328&lt;0.4,"20-39%",IF(G328&lt;0.6,"40-59%",IF(G328&lt;0.8,"60-79%","80%+"))))</f>
        <v>40-59%</v>
      </c>
      <c r="L328" s="10" t="str">
        <f aca="false">IF(H328="","No rating",IF(H328&lt;3.5,"Below 3.5",IF(H328&lt;4,"3.5-3.9",IF(H328&lt;4.5,"4.0-4.4","4.5+"))))</f>
        <v>3.5-3.9</v>
      </c>
    </row>
    <row r="329" customFormat="false" ht="15" hidden="false" customHeight="false" outlineLevel="0" collapsed="false">
      <c r="A329" s="10" t="s">
        <v>677</v>
      </c>
      <c r="B329" s="10" t="s">
        <v>678</v>
      </c>
      <c r="C329" s="10" t="s">
        <v>48</v>
      </c>
      <c r="D329" s="10" t="s">
        <v>49</v>
      </c>
      <c r="E329" s="11" t="n">
        <v>19499</v>
      </c>
      <c r="F329" s="11" t="n">
        <v>10499</v>
      </c>
      <c r="G329" s="12" t="n">
        <v>0.46</v>
      </c>
      <c r="H329" s="13" t="n">
        <v>4.2</v>
      </c>
      <c r="I329" s="11" t="n">
        <v>1510</v>
      </c>
      <c r="J329" s="11" t="n">
        <f aca="false">E329-F329</f>
        <v>9000</v>
      </c>
      <c r="K329" s="10" t="str">
        <f aca="false">IF(G329&lt;0.2,"0-19%",IF(G329&lt;0.4,"20-39%",IF(G329&lt;0.6,"40-59%",IF(G329&lt;0.8,"60-79%","80%+"))))</f>
        <v>40-59%</v>
      </c>
      <c r="L329" s="10" t="str">
        <f aca="false">IF(H329="","No rating",IF(H329&lt;3.5,"Below 3.5",IF(H329&lt;4,"3.5-3.9",IF(H329&lt;4.5,"4.0-4.4","4.5+"))))</f>
        <v>4.0-4.4</v>
      </c>
    </row>
    <row r="330" customFormat="false" ht="15" hidden="false" customHeight="false" outlineLevel="0" collapsed="false">
      <c r="A330" s="10" t="s">
        <v>679</v>
      </c>
      <c r="B330" s="10" t="s">
        <v>680</v>
      </c>
      <c r="C330" s="10" t="s">
        <v>21</v>
      </c>
      <c r="D330" s="10" t="s">
        <v>22</v>
      </c>
      <c r="E330" s="11" t="n">
        <v>999</v>
      </c>
      <c r="F330" s="11" t="n">
        <v>349</v>
      </c>
      <c r="G330" s="12" t="n">
        <v>0.65</v>
      </c>
      <c r="H330" s="13" t="n">
        <v>4.3</v>
      </c>
      <c r="I330" s="11" t="n">
        <v>838</v>
      </c>
      <c r="J330" s="11" t="n">
        <f aca="false">E330-F330</f>
        <v>650</v>
      </c>
      <c r="K330" s="10" t="str">
        <f aca="false">IF(G330&lt;0.2,"0-19%",IF(G330&lt;0.4,"20-39%",IF(G330&lt;0.6,"40-59%",IF(G330&lt;0.8,"60-79%","80%+"))))</f>
        <v>60-79%</v>
      </c>
      <c r="L330" s="10" t="str">
        <f aca="false">IF(H330="","No rating",IF(H330&lt;3.5,"Below 3.5",IF(H330&lt;4,"3.5-3.9",IF(H330&lt;4.5,"4.0-4.4","4.5+"))))</f>
        <v>4.0-4.4</v>
      </c>
    </row>
    <row r="331" customFormat="false" ht="15" hidden="false" customHeight="false" outlineLevel="0" collapsed="false">
      <c r="A331" s="10" t="s">
        <v>681</v>
      </c>
      <c r="B331" s="10" t="s">
        <v>682</v>
      </c>
      <c r="C331" s="10" t="s">
        <v>48</v>
      </c>
      <c r="D331" s="10" t="s">
        <v>49</v>
      </c>
      <c r="E331" s="11" t="n">
        <v>499</v>
      </c>
      <c r="F331" s="11" t="n">
        <v>197</v>
      </c>
      <c r="G331" s="12" t="n">
        <v>0.61</v>
      </c>
      <c r="H331" s="13" t="n">
        <v>3.8</v>
      </c>
      <c r="I331" s="11" t="n">
        <v>136</v>
      </c>
      <c r="J331" s="11" t="n">
        <f aca="false">E331-F331</f>
        <v>302</v>
      </c>
      <c r="K331" s="10" t="str">
        <f aca="false">IF(G331&lt;0.2,"0-19%",IF(G331&lt;0.4,"20-39%",IF(G331&lt;0.6,"40-59%",IF(G331&lt;0.8,"60-79%","80%+"))))</f>
        <v>60-79%</v>
      </c>
      <c r="L331" s="10" t="str">
        <f aca="false">IF(H331="","No rating",IF(H331&lt;3.5,"Below 3.5",IF(H331&lt;4,"3.5-3.9",IF(H331&lt;4.5,"4.0-4.4","4.5+"))))</f>
        <v>3.5-3.9</v>
      </c>
    </row>
    <row r="332" customFormat="false" ht="15" hidden="false" customHeight="false" outlineLevel="0" collapsed="false">
      <c r="A332" s="10" t="s">
        <v>683</v>
      </c>
      <c r="B332" s="10" t="s">
        <v>684</v>
      </c>
      <c r="C332" s="10" t="s">
        <v>48</v>
      </c>
      <c r="D332" s="10" t="s">
        <v>49</v>
      </c>
      <c r="E332" s="11" t="n">
        <v>2499</v>
      </c>
      <c r="F332" s="11" t="n">
        <v>1299</v>
      </c>
      <c r="G332" s="12" t="n">
        <v>0.48</v>
      </c>
      <c r="H332" s="13" t="n">
        <v>4.3</v>
      </c>
      <c r="I332" s="11" t="n">
        <v>301</v>
      </c>
      <c r="J332" s="11" t="n">
        <f aca="false">E332-F332</f>
        <v>1200</v>
      </c>
      <c r="K332" s="10" t="str">
        <f aca="false">IF(G332&lt;0.2,"0-19%",IF(G332&lt;0.4,"20-39%",IF(G332&lt;0.6,"40-59%",IF(G332&lt;0.8,"60-79%","80%+"))))</f>
        <v>40-59%</v>
      </c>
      <c r="L332" s="10" t="str">
        <f aca="false">IF(H332="","No rating",IF(H332&lt;3.5,"Below 3.5",IF(H332&lt;4,"3.5-3.9",IF(H332&lt;4.5,"4.0-4.4","4.5+"))))</f>
        <v>4.0-4.4</v>
      </c>
    </row>
    <row r="333" customFormat="false" ht="15" hidden="false" customHeight="false" outlineLevel="0" collapsed="false">
      <c r="A333" s="10" t="s">
        <v>685</v>
      </c>
      <c r="B333" s="10" t="s">
        <v>686</v>
      </c>
      <c r="C333" s="10" t="s">
        <v>21</v>
      </c>
      <c r="D333" s="10" t="s">
        <v>22</v>
      </c>
      <c r="E333" s="11" t="n">
        <v>1899</v>
      </c>
      <c r="F333" s="11" t="n">
        <v>1519</v>
      </c>
      <c r="G333" s="12" t="n">
        <v>0.2</v>
      </c>
      <c r="H333" s="13" t="n">
        <v>4.4</v>
      </c>
      <c r="I333" s="11" t="n">
        <v>19763</v>
      </c>
      <c r="J333" s="11" t="n">
        <f aca="false">E333-F333</f>
        <v>380</v>
      </c>
      <c r="K333" s="10" t="str">
        <f aca="false">IF(G333&lt;0.2,"0-19%",IF(G333&lt;0.4,"20-39%",IF(G333&lt;0.6,"40-59%",IF(G333&lt;0.8,"60-79%","80%+"))))</f>
        <v>20-39%</v>
      </c>
      <c r="L333" s="10" t="str">
        <f aca="false">IF(H333="","No rating",IF(H333&lt;3.5,"Below 3.5",IF(H333&lt;4,"3.5-3.9",IF(H333&lt;4.5,"4.0-4.4","4.5+"))))</f>
        <v>4.0-4.4</v>
      </c>
    </row>
    <row r="334" customFormat="false" ht="15" hidden="false" customHeight="false" outlineLevel="0" collapsed="false">
      <c r="A334" s="10" t="s">
        <v>687</v>
      </c>
      <c r="B334" s="10" t="s">
        <v>688</v>
      </c>
      <c r="C334" s="10" t="s">
        <v>48</v>
      </c>
      <c r="D334" s="10" t="s">
        <v>49</v>
      </c>
      <c r="E334" s="11" t="n">
        <v>69999</v>
      </c>
      <c r="F334" s="11" t="n">
        <v>46999</v>
      </c>
      <c r="G334" s="12" t="n">
        <v>0.33</v>
      </c>
      <c r="H334" s="13" t="n">
        <v>4.3</v>
      </c>
      <c r="I334" s="11" t="n">
        <v>21252</v>
      </c>
      <c r="J334" s="11" t="n">
        <f aca="false">E334-F334</f>
        <v>23000</v>
      </c>
      <c r="K334" s="10" t="str">
        <f aca="false">IF(G334&lt;0.2,"0-19%",IF(G334&lt;0.4,"20-39%",IF(G334&lt;0.6,"40-59%",IF(G334&lt;0.8,"60-79%","80%+"))))</f>
        <v>20-39%</v>
      </c>
      <c r="L334" s="10" t="str">
        <f aca="false">IF(H334="","No rating",IF(H334&lt;3.5,"Below 3.5",IF(H334&lt;4,"3.5-3.9",IF(H334&lt;4.5,"4.0-4.4","4.5+"))))</f>
        <v>4.0-4.4</v>
      </c>
    </row>
    <row r="335" customFormat="false" ht="15" hidden="false" customHeight="false" outlineLevel="0" collapsed="false">
      <c r="A335" s="10" t="s">
        <v>689</v>
      </c>
      <c r="B335" s="10" t="s">
        <v>690</v>
      </c>
      <c r="C335" s="10" t="s">
        <v>21</v>
      </c>
      <c r="D335" s="10" t="s">
        <v>22</v>
      </c>
      <c r="E335" s="11" t="n">
        <v>799</v>
      </c>
      <c r="F335" s="11" t="n">
        <v>299</v>
      </c>
      <c r="G335" s="12" t="n">
        <v>0.63</v>
      </c>
      <c r="H335" s="13" t="n">
        <v>4.3</v>
      </c>
      <c r="I335" s="11" t="n">
        <v>1902</v>
      </c>
      <c r="J335" s="11" t="n">
        <f aca="false">E335-F335</f>
        <v>500</v>
      </c>
      <c r="K335" s="10" t="str">
        <f aca="false">IF(G335&lt;0.2,"0-19%",IF(G335&lt;0.4,"20-39%",IF(G335&lt;0.6,"40-59%",IF(G335&lt;0.8,"60-79%","80%+"))))</f>
        <v>60-79%</v>
      </c>
      <c r="L335" s="10" t="str">
        <f aca="false">IF(H335="","No rating",IF(H335&lt;3.5,"Below 3.5",IF(H335&lt;4,"3.5-3.9",IF(H335&lt;4.5,"4.0-4.4","4.5+"))))</f>
        <v>4.0-4.4</v>
      </c>
    </row>
    <row r="336" customFormat="false" ht="15" hidden="false" customHeight="false" outlineLevel="0" collapsed="false">
      <c r="A336" s="10" t="s">
        <v>691</v>
      </c>
      <c r="B336" s="10" t="s">
        <v>692</v>
      </c>
      <c r="C336" s="10" t="s">
        <v>48</v>
      </c>
      <c r="D336" s="10" t="s">
        <v>693</v>
      </c>
      <c r="E336" s="11" t="n">
        <v>19999</v>
      </c>
      <c r="F336" s="11" t="n">
        <v>1799</v>
      </c>
      <c r="G336" s="12" t="n">
        <v>0.91</v>
      </c>
      <c r="H336" s="13" t="n">
        <v>4.2</v>
      </c>
      <c r="I336" s="11" t="n">
        <v>13937</v>
      </c>
      <c r="J336" s="11" t="n">
        <f aca="false">E336-F336</f>
        <v>18200</v>
      </c>
      <c r="K336" s="10" t="str">
        <f aca="false">IF(G336&lt;0.2,"0-19%",IF(G336&lt;0.4,"20-39%",IF(G336&lt;0.6,"40-59%",IF(G336&lt;0.8,"60-79%","80%+"))))</f>
        <v>80%+</v>
      </c>
      <c r="L336" s="10" t="str">
        <f aca="false">IF(H336="","No rating",IF(H336&lt;3.5,"Below 3.5",IF(H336&lt;4,"3.5-3.9",IF(H336&lt;4.5,"4.0-4.4","4.5+"))))</f>
        <v>4.0-4.4</v>
      </c>
    </row>
    <row r="337" customFormat="false" ht="15" hidden="false" customHeight="false" outlineLevel="0" collapsed="false">
      <c r="A337" s="10" t="s">
        <v>694</v>
      </c>
      <c r="B337" s="10" t="s">
        <v>695</v>
      </c>
      <c r="C337" s="10" t="s">
        <v>48</v>
      </c>
      <c r="D337" s="10" t="s">
        <v>693</v>
      </c>
      <c r="E337" s="11" t="n">
        <v>9999</v>
      </c>
      <c r="F337" s="11" t="n">
        <v>1998</v>
      </c>
      <c r="G337" s="12" t="n">
        <v>0.8</v>
      </c>
      <c r="H337" s="13" t="n">
        <v>4.3</v>
      </c>
      <c r="I337" s="11" t="n">
        <v>27696</v>
      </c>
      <c r="J337" s="11" t="n">
        <f aca="false">E337-F337</f>
        <v>8001</v>
      </c>
      <c r="K337" s="10" t="str">
        <f aca="false">IF(G337&lt;0.2,"0-19%",IF(G337&lt;0.4,"20-39%",IF(G337&lt;0.6,"40-59%",IF(G337&lt;0.8,"60-79%","80%+"))))</f>
        <v>80%+</v>
      </c>
      <c r="L337" s="10" t="str">
        <f aca="false">IF(H337="","No rating",IF(H337&lt;3.5,"Below 3.5",IF(H337&lt;4,"3.5-3.9",IF(H337&lt;4.5,"4.0-4.4","4.5+"))))</f>
        <v>4.0-4.4</v>
      </c>
    </row>
    <row r="338" customFormat="false" ht="15" hidden="false" customHeight="false" outlineLevel="0" collapsed="false">
      <c r="A338" s="10" t="s">
        <v>696</v>
      </c>
      <c r="B338" s="10" t="s">
        <v>697</v>
      </c>
      <c r="C338" s="10" t="s">
        <v>48</v>
      </c>
      <c r="D338" s="10" t="s">
        <v>693</v>
      </c>
      <c r="E338" s="11" t="n">
        <v>7990</v>
      </c>
      <c r="F338" s="11" t="n">
        <v>1999</v>
      </c>
      <c r="G338" s="12" t="n">
        <v>0.75</v>
      </c>
      <c r="H338" s="13" t="n">
        <v>3.8</v>
      </c>
      <c r="I338" s="11" t="n">
        <v>17831</v>
      </c>
      <c r="J338" s="11" t="n">
        <f aca="false">E338-F338</f>
        <v>5991</v>
      </c>
      <c r="K338" s="10" t="str">
        <f aca="false">IF(G338&lt;0.2,"0-19%",IF(G338&lt;0.4,"20-39%",IF(G338&lt;0.6,"40-59%",IF(G338&lt;0.8,"60-79%","80%+"))))</f>
        <v>60-79%</v>
      </c>
      <c r="L338" s="10" t="str">
        <f aca="false">IF(H338="","No rating",IF(H338&lt;3.5,"Below 3.5",IF(H338&lt;4,"3.5-3.9",IF(H338&lt;4.5,"4.0-4.4","4.5+"))))</f>
        <v>3.5-3.9</v>
      </c>
    </row>
    <row r="339" customFormat="false" ht="15" hidden="false" customHeight="false" outlineLevel="0" collapsed="false">
      <c r="A339" s="10" t="s">
        <v>698</v>
      </c>
      <c r="B339" s="10" t="s">
        <v>699</v>
      </c>
      <c r="C339" s="10" t="s">
        <v>48</v>
      </c>
      <c r="D339" s="10" t="s">
        <v>700</v>
      </c>
      <c r="E339" s="11" t="n">
        <v>2199</v>
      </c>
      <c r="F339" s="11" t="n">
        <v>2049</v>
      </c>
      <c r="G339" s="12" t="n">
        <v>0.07</v>
      </c>
      <c r="H339" s="13" t="n">
        <v>4.3</v>
      </c>
      <c r="I339" s="11" t="n">
        <v>178912</v>
      </c>
      <c r="J339" s="11" t="n">
        <f aca="false">E339-F339</f>
        <v>150</v>
      </c>
      <c r="K339" s="10" t="str">
        <f aca="false">IF(G339&lt;0.2,"0-19%",IF(G339&lt;0.4,"20-39%",IF(G339&lt;0.6,"40-59%",IF(G339&lt;0.8,"60-79%","80%+"))))</f>
        <v>0-19%</v>
      </c>
      <c r="L339" s="10" t="str">
        <f aca="false">IF(H339="","No rating",IF(H339&lt;3.5,"Below 3.5",IF(H339&lt;4,"3.5-3.9",IF(H339&lt;4.5,"4.0-4.4","4.5+"))))</f>
        <v>4.0-4.4</v>
      </c>
    </row>
    <row r="340" customFormat="false" ht="15" hidden="false" customHeight="false" outlineLevel="0" collapsed="false">
      <c r="A340" s="10" t="s">
        <v>701</v>
      </c>
      <c r="B340" s="10" t="s">
        <v>702</v>
      </c>
      <c r="C340" s="10" t="s">
        <v>48</v>
      </c>
      <c r="D340" s="10" t="s">
        <v>700</v>
      </c>
      <c r="E340" s="11" t="n">
        <v>8999</v>
      </c>
      <c r="F340" s="11" t="n">
        <v>6499</v>
      </c>
      <c r="G340" s="12" t="n">
        <v>0.28</v>
      </c>
      <c r="H340" s="13" t="n">
        <v>4</v>
      </c>
      <c r="I340" s="11" t="n">
        <v>7807</v>
      </c>
      <c r="J340" s="11" t="n">
        <f aca="false">E340-F340</f>
        <v>2500</v>
      </c>
      <c r="K340" s="10" t="str">
        <f aca="false">IF(G340&lt;0.2,"0-19%",IF(G340&lt;0.4,"20-39%",IF(G340&lt;0.6,"40-59%",IF(G340&lt;0.8,"60-79%","80%+"))))</f>
        <v>20-39%</v>
      </c>
      <c r="L340" s="10" t="str">
        <f aca="false">IF(H340="","No rating",IF(H340&lt;3.5,"Below 3.5",IF(H340&lt;4,"3.5-3.9",IF(H340&lt;4.5,"4.0-4.4","4.5+"))))</f>
        <v>4.0-4.4</v>
      </c>
    </row>
    <row r="341" customFormat="false" ht="15" hidden="false" customHeight="false" outlineLevel="0" collapsed="false">
      <c r="A341" s="10" t="s">
        <v>703</v>
      </c>
      <c r="B341" s="10" t="s">
        <v>704</v>
      </c>
      <c r="C341" s="10" t="s">
        <v>48</v>
      </c>
      <c r="D341" s="10" t="s">
        <v>700</v>
      </c>
      <c r="E341" s="11" t="n">
        <v>28999</v>
      </c>
      <c r="F341" s="11" t="n">
        <v>28999</v>
      </c>
      <c r="G341" s="12" t="n">
        <v>0</v>
      </c>
      <c r="H341" s="13" t="n">
        <v>4.3</v>
      </c>
      <c r="I341" s="11" t="n">
        <v>17415</v>
      </c>
      <c r="J341" s="11" t="n">
        <f aca="false">E341-F341</f>
        <v>0</v>
      </c>
      <c r="K341" s="10" t="str">
        <f aca="false">IF(G341&lt;0.2,"0-19%",IF(G341&lt;0.4,"20-39%",IF(G341&lt;0.6,"40-59%",IF(G341&lt;0.8,"60-79%","80%+"))))</f>
        <v>0-19%</v>
      </c>
      <c r="L341" s="10" t="str">
        <f aca="false">IF(H341="","No rating",IF(H341&lt;3.5,"Below 3.5",IF(H341&lt;4,"3.5-3.9",IF(H341&lt;4.5,"4.0-4.4","4.5+"))))</f>
        <v>4.0-4.4</v>
      </c>
    </row>
    <row r="342" customFormat="false" ht="15" hidden="false" customHeight="false" outlineLevel="0" collapsed="false">
      <c r="A342" s="10" t="s">
        <v>705</v>
      </c>
      <c r="B342" s="10" t="s">
        <v>706</v>
      </c>
      <c r="C342" s="10" t="s">
        <v>48</v>
      </c>
      <c r="D342" s="10" t="s">
        <v>700</v>
      </c>
      <c r="E342" s="11" t="n">
        <v>28999</v>
      </c>
      <c r="F342" s="11" t="n">
        <v>28999</v>
      </c>
      <c r="G342" s="12" t="n">
        <v>0</v>
      </c>
      <c r="H342" s="13" t="n">
        <v>4.3</v>
      </c>
      <c r="I342" s="11" t="n">
        <v>17415</v>
      </c>
      <c r="J342" s="11" t="n">
        <f aca="false">E342-F342</f>
        <v>0</v>
      </c>
      <c r="K342" s="10" t="str">
        <f aca="false">IF(G342&lt;0.2,"0-19%",IF(G342&lt;0.4,"20-39%",IF(G342&lt;0.6,"40-59%",IF(G342&lt;0.8,"60-79%","80%+"))))</f>
        <v>0-19%</v>
      </c>
      <c r="L342" s="10" t="str">
        <f aca="false">IF(H342="","No rating",IF(H342&lt;3.5,"Below 3.5",IF(H342&lt;4,"3.5-3.9",IF(H342&lt;4.5,"4.0-4.4","4.5+"))))</f>
        <v>4.0-4.4</v>
      </c>
    </row>
    <row r="343" customFormat="false" ht="15" hidden="false" customHeight="false" outlineLevel="0" collapsed="false">
      <c r="A343" s="10" t="s">
        <v>707</v>
      </c>
      <c r="B343" s="10" t="s">
        <v>708</v>
      </c>
      <c r="C343" s="10" t="s">
        <v>48</v>
      </c>
      <c r="D343" s="10" t="s">
        <v>700</v>
      </c>
      <c r="E343" s="11" t="n">
        <v>8999</v>
      </c>
      <c r="F343" s="11" t="n">
        <v>6499</v>
      </c>
      <c r="G343" s="12" t="n">
        <v>0.28</v>
      </c>
      <c r="H343" s="13" t="n">
        <v>4</v>
      </c>
      <c r="I343" s="11" t="n">
        <v>7807</v>
      </c>
      <c r="J343" s="11" t="n">
        <f aca="false">E343-F343</f>
        <v>2500</v>
      </c>
      <c r="K343" s="10" t="str">
        <f aca="false">IF(G343&lt;0.2,"0-19%",IF(G343&lt;0.4,"20-39%",IF(G343&lt;0.6,"40-59%",IF(G343&lt;0.8,"60-79%","80%+"))))</f>
        <v>20-39%</v>
      </c>
      <c r="L343" s="10" t="str">
        <f aca="false">IF(H343="","No rating",IF(H343&lt;3.5,"Below 3.5",IF(H343&lt;4,"3.5-3.9",IF(H343&lt;4.5,"4.0-4.4","4.5+"))))</f>
        <v>4.0-4.4</v>
      </c>
    </row>
    <row r="344" customFormat="false" ht="15" hidden="false" customHeight="false" outlineLevel="0" collapsed="false">
      <c r="A344" s="10" t="s">
        <v>709</v>
      </c>
      <c r="B344" s="10" t="s">
        <v>710</v>
      </c>
      <c r="C344" s="10" t="s">
        <v>48</v>
      </c>
      <c r="D344" s="10" t="s">
        <v>700</v>
      </c>
      <c r="E344" s="11" t="n">
        <v>8999</v>
      </c>
      <c r="F344" s="11" t="n">
        <v>6499</v>
      </c>
      <c r="G344" s="12" t="n">
        <v>0.28</v>
      </c>
      <c r="H344" s="13" t="n">
        <v>4</v>
      </c>
      <c r="I344" s="11" t="n">
        <v>7807</v>
      </c>
      <c r="J344" s="11" t="n">
        <f aca="false">E344-F344</f>
        <v>2500</v>
      </c>
      <c r="K344" s="10" t="str">
        <f aca="false">IF(G344&lt;0.2,"0-19%",IF(G344&lt;0.4,"20-39%",IF(G344&lt;0.6,"40-59%",IF(G344&lt;0.8,"60-79%","80%+"))))</f>
        <v>20-39%</v>
      </c>
      <c r="L344" s="10" t="str">
        <f aca="false">IF(H344="","No rating",IF(H344&lt;3.5,"Below 3.5",IF(H344&lt;4,"3.5-3.9",IF(H344&lt;4.5,"4.0-4.4","4.5+"))))</f>
        <v>4.0-4.4</v>
      </c>
    </row>
    <row r="345" customFormat="false" ht="15" hidden="false" customHeight="false" outlineLevel="0" collapsed="false">
      <c r="A345" s="10" t="s">
        <v>711</v>
      </c>
      <c r="B345" s="10" t="s">
        <v>712</v>
      </c>
      <c r="C345" s="10" t="s">
        <v>48</v>
      </c>
      <c r="D345" s="10" t="s">
        <v>713</v>
      </c>
      <c r="E345" s="11" t="n">
        <v>1000</v>
      </c>
      <c r="F345" s="11" t="n">
        <v>569</v>
      </c>
      <c r="G345" s="12" t="n">
        <v>0.43</v>
      </c>
      <c r="H345" s="13" t="n">
        <v>4.4</v>
      </c>
      <c r="I345" s="11" t="n">
        <v>67259</v>
      </c>
      <c r="J345" s="11" t="n">
        <f aca="false">E345-F345</f>
        <v>431</v>
      </c>
      <c r="K345" s="10" t="str">
        <f aca="false">IF(G345&lt;0.2,"0-19%",IF(G345&lt;0.4,"20-39%",IF(G345&lt;0.6,"40-59%",IF(G345&lt;0.8,"60-79%","80%+"))))</f>
        <v>40-59%</v>
      </c>
      <c r="L345" s="10" t="str">
        <f aca="false">IF(H345="","No rating",IF(H345&lt;3.5,"Below 3.5",IF(H345&lt;4,"3.5-3.9",IF(H345&lt;4.5,"4.0-4.4","4.5+"))))</f>
        <v>4.0-4.4</v>
      </c>
    </row>
    <row r="346" customFormat="false" ht="15" hidden="false" customHeight="false" outlineLevel="0" collapsed="false">
      <c r="A346" s="10" t="s">
        <v>714</v>
      </c>
      <c r="B346" s="10" t="s">
        <v>715</v>
      </c>
      <c r="C346" s="10" t="s">
        <v>48</v>
      </c>
      <c r="D346" s="10" t="s">
        <v>693</v>
      </c>
      <c r="E346" s="11" t="n">
        <v>4999</v>
      </c>
      <c r="F346" s="11" t="n">
        <v>1898</v>
      </c>
      <c r="G346" s="12" t="n">
        <v>0.62</v>
      </c>
      <c r="H346" s="13" t="n">
        <v>4.1</v>
      </c>
      <c r="I346" s="11" t="n">
        <v>10689</v>
      </c>
      <c r="J346" s="11" t="n">
        <f aca="false">E346-F346</f>
        <v>3101</v>
      </c>
      <c r="K346" s="10" t="str">
        <f aca="false">IF(G346&lt;0.2,"0-19%",IF(G346&lt;0.4,"20-39%",IF(G346&lt;0.6,"40-59%",IF(G346&lt;0.8,"60-79%","80%+"))))</f>
        <v>60-79%</v>
      </c>
      <c r="L346" s="10" t="str">
        <f aca="false">IF(H346="","No rating",IF(H346&lt;3.5,"Below 3.5",IF(H346&lt;4,"3.5-3.9",IF(H346&lt;4.5,"4.0-4.4","4.5+"))))</f>
        <v>4.0-4.4</v>
      </c>
    </row>
    <row r="347" customFormat="false" ht="15" hidden="false" customHeight="false" outlineLevel="0" collapsed="false">
      <c r="A347" s="10" t="s">
        <v>716</v>
      </c>
      <c r="B347" s="10" t="s">
        <v>717</v>
      </c>
      <c r="C347" s="10" t="s">
        <v>48</v>
      </c>
      <c r="D347" s="10" t="s">
        <v>700</v>
      </c>
      <c r="E347" s="11" t="n">
        <v>1599</v>
      </c>
      <c r="F347" s="11" t="n">
        <v>1299</v>
      </c>
      <c r="G347" s="12" t="n">
        <v>0.19</v>
      </c>
      <c r="H347" s="13" t="n">
        <v>4</v>
      </c>
      <c r="I347" s="11" t="n">
        <v>128311</v>
      </c>
      <c r="J347" s="11" t="n">
        <f aca="false">E347-F347</f>
        <v>300</v>
      </c>
      <c r="K347" s="10" t="str">
        <f aca="false">IF(G347&lt;0.2,"0-19%",IF(G347&lt;0.4,"20-39%",IF(G347&lt;0.6,"40-59%",IF(G347&lt;0.8,"60-79%","80%+"))))</f>
        <v>0-19%</v>
      </c>
      <c r="L347" s="10" t="str">
        <f aca="false">IF(H347="","No rating",IF(H347&lt;3.5,"Below 3.5",IF(H347&lt;4,"3.5-3.9",IF(H347&lt;4.5,"4.0-4.4","4.5+"))))</f>
        <v>4.0-4.4</v>
      </c>
    </row>
    <row r="348" customFormat="false" ht="15" hidden="false" customHeight="false" outlineLevel="0" collapsed="false">
      <c r="A348" s="10" t="s">
        <v>718</v>
      </c>
      <c r="B348" s="10" t="s">
        <v>719</v>
      </c>
      <c r="C348" s="10" t="s">
        <v>48</v>
      </c>
      <c r="D348" s="10" t="s">
        <v>693</v>
      </c>
      <c r="E348" s="11" t="n">
        <v>6990</v>
      </c>
      <c r="F348" s="11" t="n">
        <v>1499</v>
      </c>
      <c r="G348" s="12" t="n">
        <v>0.79</v>
      </c>
      <c r="H348" s="13" t="n">
        <v>3.9</v>
      </c>
      <c r="I348" s="11" t="n">
        <v>21796</v>
      </c>
      <c r="J348" s="11" t="n">
        <f aca="false">E348-F348</f>
        <v>5491</v>
      </c>
      <c r="K348" s="10" t="str">
        <f aca="false">IF(G348&lt;0.2,"0-19%",IF(G348&lt;0.4,"20-39%",IF(G348&lt;0.6,"40-59%",IF(G348&lt;0.8,"60-79%","80%+"))))</f>
        <v>60-79%</v>
      </c>
      <c r="L348" s="10" t="str">
        <f aca="false">IF(H348="","No rating",IF(H348&lt;3.5,"Below 3.5",IF(H348&lt;4,"3.5-3.9",IF(H348&lt;4.5,"4.0-4.4","4.5+"))))</f>
        <v>3.5-3.9</v>
      </c>
    </row>
    <row r="349" customFormat="false" ht="15" hidden="false" customHeight="false" outlineLevel="0" collapsed="false">
      <c r="A349" s="10" t="s">
        <v>720</v>
      </c>
      <c r="B349" s="10" t="s">
        <v>721</v>
      </c>
      <c r="C349" s="10" t="s">
        <v>48</v>
      </c>
      <c r="D349" s="10" t="s">
        <v>722</v>
      </c>
      <c r="E349" s="11" t="n">
        <v>999</v>
      </c>
      <c r="F349" s="11" t="n">
        <v>599</v>
      </c>
      <c r="G349" s="12" t="n">
        <v>0.4</v>
      </c>
      <c r="H349" s="13" t="n">
        <v>4.1</v>
      </c>
      <c r="I349" s="11" t="n">
        <v>192590</v>
      </c>
      <c r="J349" s="11" t="n">
        <f aca="false">E349-F349</f>
        <v>400</v>
      </c>
      <c r="K349" s="10" t="str">
        <f aca="false">IF(G349&lt;0.2,"0-19%",IF(G349&lt;0.4,"20-39%",IF(G349&lt;0.6,"40-59%",IF(G349&lt;0.8,"60-79%","80%+"))))</f>
        <v>40-59%</v>
      </c>
      <c r="L349" s="10" t="str">
        <f aca="false">IF(H349="","No rating",IF(H349&lt;3.5,"Below 3.5",IF(H349&lt;4,"3.5-3.9",IF(H349&lt;4.5,"4.0-4.4","4.5+"))))</f>
        <v>4.0-4.4</v>
      </c>
    </row>
    <row r="350" customFormat="false" ht="15" hidden="false" customHeight="false" outlineLevel="0" collapsed="false">
      <c r="A350" s="10" t="s">
        <v>723</v>
      </c>
      <c r="B350" s="10" t="s">
        <v>724</v>
      </c>
      <c r="C350" s="10" t="s">
        <v>48</v>
      </c>
      <c r="D350" s="10" t="s">
        <v>700</v>
      </c>
      <c r="E350" s="11" t="n">
        <v>11999</v>
      </c>
      <c r="F350" s="11" t="n">
        <v>9499</v>
      </c>
      <c r="G350" s="12" t="n">
        <v>0.21</v>
      </c>
      <c r="H350" s="13" t="n">
        <v>4.2</v>
      </c>
      <c r="I350" s="11" t="n">
        <v>284</v>
      </c>
      <c r="J350" s="11" t="n">
        <f aca="false">E350-F350</f>
        <v>2500</v>
      </c>
      <c r="K350" s="10" t="str">
        <f aca="false">IF(G350&lt;0.2,"0-19%",IF(G350&lt;0.4,"20-39%",IF(G350&lt;0.6,"40-59%",IF(G350&lt;0.8,"60-79%","80%+"))))</f>
        <v>20-39%</v>
      </c>
      <c r="L350" s="10" t="str">
        <f aca="false">IF(H350="","No rating",IF(H350&lt;3.5,"Below 3.5",IF(H350&lt;4,"3.5-3.9",IF(H350&lt;4.5,"4.0-4.4","4.5+"))))</f>
        <v>4.0-4.4</v>
      </c>
    </row>
    <row r="351" customFormat="false" ht="15" hidden="false" customHeight="false" outlineLevel="0" collapsed="false">
      <c r="A351" s="10" t="s">
        <v>725</v>
      </c>
      <c r="B351" s="10" t="s">
        <v>726</v>
      </c>
      <c r="C351" s="10" t="s">
        <v>48</v>
      </c>
      <c r="D351" s="10" t="s">
        <v>722</v>
      </c>
      <c r="E351" s="11" t="n">
        <v>2499</v>
      </c>
      <c r="F351" s="11" t="n">
        <v>599</v>
      </c>
      <c r="G351" s="12" t="n">
        <v>0.76</v>
      </c>
      <c r="H351" s="13" t="n">
        <v>3.9</v>
      </c>
      <c r="I351" s="11" t="n">
        <v>58162</v>
      </c>
      <c r="J351" s="11" t="n">
        <f aca="false">E351-F351</f>
        <v>1900</v>
      </c>
      <c r="K351" s="10" t="str">
        <f aca="false">IF(G351&lt;0.2,"0-19%",IF(G351&lt;0.4,"20-39%",IF(G351&lt;0.6,"40-59%",IF(G351&lt;0.8,"60-79%","80%+"))))</f>
        <v>60-79%</v>
      </c>
      <c r="L351" s="10" t="str">
        <f aca="false">IF(H351="","No rating",IF(H351&lt;3.5,"Below 3.5",IF(H351&lt;4,"3.5-3.9",IF(H351&lt;4.5,"4.0-4.4","4.5+"))))</f>
        <v>3.5-3.9</v>
      </c>
    </row>
    <row r="352" customFormat="false" ht="15" hidden="false" customHeight="false" outlineLevel="0" collapsed="false">
      <c r="A352" s="10" t="s">
        <v>727</v>
      </c>
      <c r="B352" s="10" t="s">
        <v>728</v>
      </c>
      <c r="C352" s="10" t="s">
        <v>48</v>
      </c>
      <c r="D352" s="10" t="s">
        <v>700</v>
      </c>
      <c r="E352" s="11" t="n">
        <v>11999</v>
      </c>
      <c r="F352" s="11" t="n">
        <v>8999</v>
      </c>
      <c r="G352" s="12" t="n">
        <v>0.25</v>
      </c>
      <c r="H352" s="13" t="n">
        <v>4</v>
      </c>
      <c r="I352" s="11" t="n">
        <v>12796</v>
      </c>
      <c r="J352" s="11" t="n">
        <f aca="false">E352-F352</f>
        <v>3000</v>
      </c>
      <c r="K352" s="10" t="str">
        <f aca="false">IF(G352&lt;0.2,"0-19%",IF(G352&lt;0.4,"20-39%",IF(G352&lt;0.6,"40-59%",IF(G352&lt;0.8,"60-79%","80%+"))))</f>
        <v>20-39%</v>
      </c>
      <c r="L352" s="10" t="str">
        <f aca="false">IF(H352="","No rating",IF(H352&lt;3.5,"Below 3.5",IF(H352&lt;4,"3.5-3.9",IF(H352&lt;4.5,"4.0-4.4","4.5+"))))</f>
        <v>4.0-4.4</v>
      </c>
    </row>
    <row r="353" customFormat="false" ht="15" hidden="false" customHeight="false" outlineLevel="0" collapsed="false">
      <c r="A353" s="10" t="s">
        <v>729</v>
      </c>
      <c r="B353" s="10" t="s">
        <v>730</v>
      </c>
      <c r="C353" s="10" t="s">
        <v>48</v>
      </c>
      <c r="D353" s="10" t="s">
        <v>700</v>
      </c>
      <c r="E353" s="11" t="n">
        <v>1299</v>
      </c>
      <c r="F353" s="11" t="n">
        <v>349</v>
      </c>
      <c r="G353" s="12" t="n">
        <v>0.73</v>
      </c>
      <c r="H353" s="13" t="n">
        <v>4</v>
      </c>
      <c r="I353" s="11" t="n">
        <v>14282</v>
      </c>
      <c r="J353" s="11" t="n">
        <f aca="false">E353-F353</f>
        <v>950</v>
      </c>
      <c r="K353" s="10" t="str">
        <f aca="false">IF(G353&lt;0.2,"0-19%",IF(G353&lt;0.4,"20-39%",IF(G353&lt;0.6,"40-59%",IF(G353&lt;0.8,"60-79%","80%+"))))</f>
        <v>60-79%</v>
      </c>
      <c r="L353" s="10" t="str">
        <f aca="false">IF(H353="","No rating",IF(H353&lt;3.5,"Below 3.5",IF(H353&lt;4,"3.5-3.9",IF(H353&lt;4.5,"4.0-4.4","4.5+"))))</f>
        <v>4.0-4.4</v>
      </c>
    </row>
    <row r="354" customFormat="false" ht="15" hidden="false" customHeight="false" outlineLevel="0" collapsed="false">
      <c r="A354" s="10" t="s">
        <v>731</v>
      </c>
      <c r="B354" s="10" t="s">
        <v>732</v>
      </c>
      <c r="C354" s="10" t="s">
        <v>48</v>
      </c>
      <c r="D354" s="10" t="s">
        <v>722</v>
      </c>
      <c r="E354" s="11" t="n">
        <v>999</v>
      </c>
      <c r="F354" s="11" t="n">
        <v>349</v>
      </c>
      <c r="G354" s="12" t="n">
        <v>0.65</v>
      </c>
      <c r="H354" s="13" t="n">
        <v>4.1</v>
      </c>
      <c r="I354" s="11" t="n">
        <v>363713</v>
      </c>
      <c r="J354" s="11" t="n">
        <f aca="false">E354-F354</f>
        <v>650</v>
      </c>
      <c r="K354" s="10" t="str">
        <f aca="false">IF(G354&lt;0.2,"0-19%",IF(G354&lt;0.4,"20-39%",IF(G354&lt;0.6,"40-59%",IF(G354&lt;0.8,"60-79%","80%+"))))</f>
        <v>60-79%</v>
      </c>
      <c r="L354" s="10" t="str">
        <f aca="false">IF(H354="","No rating",IF(H354&lt;3.5,"Below 3.5",IF(H354&lt;4,"3.5-3.9",IF(H354&lt;4.5,"4.0-4.4","4.5+"))))</f>
        <v>4.0-4.4</v>
      </c>
    </row>
    <row r="355" customFormat="false" ht="15" hidden="false" customHeight="false" outlineLevel="0" collapsed="false">
      <c r="A355" s="10" t="s">
        <v>733</v>
      </c>
      <c r="B355" s="10" t="s">
        <v>734</v>
      </c>
      <c r="C355" s="10" t="s">
        <v>48</v>
      </c>
      <c r="D355" s="10" t="s">
        <v>713</v>
      </c>
      <c r="E355" s="11" t="n">
        <v>1800</v>
      </c>
      <c r="F355" s="11" t="n">
        <v>959</v>
      </c>
      <c r="G355" s="12" t="n">
        <v>0.47</v>
      </c>
      <c r="H355" s="13" t="n">
        <v>4.4</v>
      </c>
      <c r="I355" s="11" t="n">
        <v>67259</v>
      </c>
      <c r="J355" s="11" t="n">
        <f aca="false">E355-F355</f>
        <v>841</v>
      </c>
      <c r="K355" s="10" t="str">
        <f aca="false">IF(G355&lt;0.2,"0-19%",IF(G355&lt;0.4,"20-39%",IF(G355&lt;0.6,"40-59%",IF(G355&lt;0.8,"60-79%","80%+"))))</f>
        <v>40-59%</v>
      </c>
      <c r="L355" s="10" t="str">
        <f aca="false">IF(H355="","No rating",IF(H355&lt;3.5,"Below 3.5",IF(H355&lt;4,"3.5-3.9",IF(H355&lt;4.5,"4.0-4.4","4.5+"))))</f>
        <v>4.0-4.4</v>
      </c>
    </row>
    <row r="356" customFormat="false" ht="15" hidden="false" customHeight="false" outlineLevel="0" collapsed="false">
      <c r="A356" s="10" t="s">
        <v>735</v>
      </c>
      <c r="B356" s="10" t="s">
        <v>736</v>
      </c>
      <c r="C356" s="10" t="s">
        <v>48</v>
      </c>
      <c r="D356" s="10" t="s">
        <v>700</v>
      </c>
      <c r="E356" s="11" t="n">
        <v>11999</v>
      </c>
      <c r="F356" s="11" t="n">
        <v>9499</v>
      </c>
      <c r="G356" s="12" t="n">
        <v>0.21</v>
      </c>
      <c r="H356" s="13" t="n">
        <v>4.2</v>
      </c>
      <c r="I356" s="11" t="n">
        <v>284</v>
      </c>
      <c r="J356" s="11" t="n">
        <f aca="false">E356-F356</f>
        <v>2500</v>
      </c>
      <c r="K356" s="10" t="str">
        <f aca="false">IF(G356&lt;0.2,"0-19%",IF(G356&lt;0.4,"20-39%",IF(G356&lt;0.6,"40-59%",IF(G356&lt;0.8,"60-79%","80%+"))))</f>
        <v>20-39%</v>
      </c>
      <c r="L356" s="10" t="str">
        <f aca="false">IF(H356="","No rating",IF(H356&lt;3.5,"Below 3.5",IF(H356&lt;4,"3.5-3.9",IF(H356&lt;4.5,"4.0-4.4","4.5+"))))</f>
        <v>4.0-4.4</v>
      </c>
    </row>
    <row r="357" customFormat="false" ht="15" hidden="false" customHeight="false" outlineLevel="0" collapsed="false">
      <c r="A357" s="10" t="s">
        <v>737</v>
      </c>
      <c r="B357" s="10" t="s">
        <v>738</v>
      </c>
      <c r="C357" s="10" t="s">
        <v>48</v>
      </c>
      <c r="D357" s="10" t="s">
        <v>700</v>
      </c>
      <c r="E357" s="11" t="n">
        <v>2499</v>
      </c>
      <c r="F357" s="11" t="n">
        <v>1499</v>
      </c>
      <c r="G357" s="12" t="n">
        <v>0.4</v>
      </c>
      <c r="H357" s="13" t="n">
        <v>4.3</v>
      </c>
      <c r="I357" s="11" t="n">
        <v>15970</v>
      </c>
      <c r="J357" s="11" t="n">
        <f aca="false">E357-F357</f>
        <v>1000</v>
      </c>
      <c r="K357" s="10" t="str">
        <f aca="false">IF(G357&lt;0.2,"0-19%",IF(G357&lt;0.4,"20-39%",IF(G357&lt;0.6,"40-59%",IF(G357&lt;0.8,"60-79%","80%+"))))</f>
        <v>40-59%</v>
      </c>
      <c r="L357" s="10" t="str">
        <f aca="false">IF(H357="","No rating",IF(H357&lt;3.5,"Below 3.5",IF(H357&lt;4,"3.5-3.9",IF(H357&lt;4.5,"4.0-4.4","4.5+"))))</f>
        <v>4.0-4.4</v>
      </c>
    </row>
    <row r="358" customFormat="false" ht="15" hidden="false" customHeight="false" outlineLevel="0" collapsed="false">
      <c r="A358" s="10" t="s">
        <v>739</v>
      </c>
      <c r="B358" s="10" t="s">
        <v>740</v>
      </c>
      <c r="C358" s="10" t="s">
        <v>48</v>
      </c>
      <c r="D358" s="10" t="s">
        <v>700</v>
      </c>
      <c r="E358" s="11" t="n">
        <v>2199</v>
      </c>
      <c r="F358" s="11" t="n">
        <v>1149</v>
      </c>
      <c r="G358" s="12" t="n">
        <v>0.48</v>
      </c>
      <c r="H358" s="13" t="n">
        <v>4.3</v>
      </c>
      <c r="I358" s="11" t="n">
        <v>178912</v>
      </c>
      <c r="J358" s="11" t="n">
        <f aca="false">E358-F358</f>
        <v>1050</v>
      </c>
      <c r="K358" s="10" t="str">
        <f aca="false">IF(G358&lt;0.2,"0-19%",IF(G358&lt;0.4,"20-39%",IF(G358&lt;0.6,"40-59%",IF(G358&lt;0.8,"60-79%","80%+"))))</f>
        <v>40-59%</v>
      </c>
      <c r="L358" s="10" t="str">
        <f aca="false">IF(H358="","No rating",IF(H358&lt;3.5,"Below 3.5",IF(H358&lt;4,"3.5-3.9",IF(H358&lt;4.5,"4.0-4.4","4.5+"))))</f>
        <v>4.0-4.4</v>
      </c>
    </row>
    <row r="359" customFormat="false" ht="15" hidden="false" customHeight="false" outlineLevel="0" collapsed="false">
      <c r="A359" s="10" t="s">
        <v>741</v>
      </c>
      <c r="B359" s="10" t="s">
        <v>742</v>
      </c>
      <c r="C359" s="10" t="s">
        <v>48</v>
      </c>
      <c r="D359" s="10" t="s">
        <v>700</v>
      </c>
      <c r="E359" s="11" t="n">
        <v>999</v>
      </c>
      <c r="F359" s="11" t="n">
        <v>349</v>
      </c>
      <c r="G359" s="12" t="n">
        <v>0.65</v>
      </c>
      <c r="H359" s="13" t="n">
        <v>3.9</v>
      </c>
      <c r="I359" s="11" t="n">
        <v>46399</v>
      </c>
      <c r="J359" s="11" t="n">
        <f aca="false">E359-F359</f>
        <v>650</v>
      </c>
      <c r="K359" s="10" t="str">
        <f aca="false">IF(G359&lt;0.2,"0-19%",IF(G359&lt;0.4,"20-39%",IF(G359&lt;0.6,"40-59%",IF(G359&lt;0.8,"60-79%","80%+"))))</f>
        <v>60-79%</v>
      </c>
      <c r="L359" s="10" t="str">
        <f aca="false">IF(H359="","No rating",IF(H359&lt;3.5,"Below 3.5",IF(H359&lt;4,"3.5-3.9",IF(H359&lt;4.5,"4.0-4.4","4.5+"))))</f>
        <v>3.5-3.9</v>
      </c>
    </row>
    <row r="360" customFormat="false" ht="15" hidden="false" customHeight="false" outlineLevel="0" collapsed="false">
      <c r="A360" s="10" t="s">
        <v>743</v>
      </c>
      <c r="B360" s="10" t="s">
        <v>744</v>
      </c>
      <c r="C360" s="10" t="s">
        <v>48</v>
      </c>
      <c r="D360" s="10" t="s">
        <v>700</v>
      </c>
      <c r="E360" s="11" t="n">
        <v>1699</v>
      </c>
      <c r="F360" s="11" t="n">
        <v>1219</v>
      </c>
      <c r="G360" s="12" t="n">
        <v>0.28</v>
      </c>
      <c r="H360" s="13" t="n">
        <v>4.4</v>
      </c>
      <c r="I360" s="11" t="n">
        <v>8891</v>
      </c>
      <c r="J360" s="11" t="n">
        <f aca="false">E360-F360</f>
        <v>480</v>
      </c>
      <c r="K360" s="10" t="str">
        <f aca="false">IF(G360&lt;0.2,"0-19%",IF(G360&lt;0.4,"20-39%",IF(G360&lt;0.6,"40-59%",IF(G360&lt;0.8,"60-79%","80%+"))))</f>
        <v>20-39%</v>
      </c>
      <c r="L360" s="10" t="str">
        <f aca="false">IF(H360="","No rating",IF(H360&lt;3.5,"Below 3.5",IF(H360&lt;4,"3.5-3.9",IF(H360&lt;4.5,"4.0-4.4","4.5+"))))</f>
        <v>4.0-4.4</v>
      </c>
    </row>
    <row r="361" customFormat="false" ht="15" hidden="false" customHeight="false" outlineLevel="0" collapsed="false">
      <c r="A361" s="10" t="s">
        <v>745</v>
      </c>
      <c r="B361" s="10" t="s">
        <v>746</v>
      </c>
      <c r="C361" s="10" t="s">
        <v>48</v>
      </c>
      <c r="D361" s="10" t="s">
        <v>693</v>
      </c>
      <c r="E361" s="11" t="n">
        <v>3999</v>
      </c>
      <c r="F361" s="11" t="n">
        <v>1599</v>
      </c>
      <c r="G361" s="12" t="n">
        <v>0.6</v>
      </c>
      <c r="H361" s="13" t="n">
        <v>4</v>
      </c>
      <c r="I361" s="11" t="n">
        <v>30254</v>
      </c>
      <c r="J361" s="11" t="n">
        <f aca="false">E361-F361</f>
        <v>2400</v>
      </c>
      <c r="K361" s="10" t="str">
        <f aca="false">IF(G361&lt;0.2,"0-19%",IF(G361&lt;0.4,"20-39%",IF(G361&lt;0.6,"40-59%",IF(G361&lt;0.8,"60-79%","80%+"))))</f>
        <v>60-79%</v>
      </c>
      <c r="L361" s="10" t="str">
        <f aca="false">IF(H361="","No rating",IF(H361&lt;3.5,"Below 3.5",IF(H361&lt;4,"3.5-3.9",IF(H361&lt;4.5,"4.0-4.4","4.5+"))))</f>
        <v>4.0-4.4</v>
      </c>
    </row>
    <row r="362" customFormat="false" ht="15" hidden="false" customHeight="false" outlineLevel="0" collapsed="false">
      <c r="A362" s="10" t="s">
        <v>747</v>
      </c>
      <c r="B362" s="10" t="s">
        <v>748</v>
      </c>
      <c r="C362" s="10" t="s">
        <v>48</v>
      </c>
      <c r="D362" s="10" t="s">
        <v>693</v>
      </c>
      <c r="E362" s="11" t="n">
        <v>7999</v>
      </c>
      <c r="F362" s="11" t="n">
        <v>1499</v>
      </c>
      <c r="G362" s="12" t="n">
        <v>0.81</v>
      </c>
      <c r="H362" s="13" t="n">
        <v>4.2</v>
      </c>
      <c r="I362" s="11" t="n">
        <v>22636</v>
      </c>
      <c r="J362" s="11" t="n">
        <f aca="false">E362-F362</f>
        <v>6500</v>
      </c>
      <c r="K362" s="10" t="str">
        <f aca="false">IF(G362&lt;0.2,"0-19%",IF(G362&lt;0.4,"20-39%",IF(G362&lt;0.6,"40-59%",IF(G362&lt;0.8,"60-79%","80%+"))))</f>
        <v>80%+</v>
      </c>
      <c r="L362" s="10" t="str">
        <f aca="false">IF(H362="","No rating",IF(H362&lt;3.5,"Below 3.5",IF(H362&lt;4,"3.5-3.9",IF(H362&lt;4.5,"4.0-4.4","4.5+"))))</f>
        <v>4.0-4.4</v>
      </c>
    </row>
    <row r="363" customFormat="false" ht="15" hidden="false" customHeight="false" outlineLevel="0" collapsed="false">
      <c r="A363" s="10" t="s">
        <v>749</v>
      </c>
      <c r="B363" s="10" t="s">
        <v>750</v>
      </c>
      <c r="C363" s="10" t="s">
        <v>48</v>
      </c>
      <c r="D363" s="10" t="s">
        <v>700</v>
      </c>
      <c r="E363" s="11" t="n">
        <v>25999</v>
      </c>
      <c r="F363" s="11" t="n">
        <v>18499</v>
      </c>
      <c r="G363" s="12" t="n">
        <v>0.29</v>
      </c>
      <c r="H363" s="13" t="n">
        <v>4.1</v>
      </c>
      <c r="I363" s="11" t="n">
        <v>22318</v>
      </c>
      <c r="J363" s="11" t="n">
        <f aca="false">E363-F363</f>
        <v>7500</v>
      </c>
      <c r="K363" s="10" t="str">
        <f aca="false">IF(G363&lt;0.2,"0-19%",IF(G363&lt;0.4,"20-39%",IF(G363&lt;0.6,"40-59%",IF(G363&lt;0.8,"60-79%","80%+"))))</f>
        <v>20-39%</v>
      </c>
      <c r="L363" s="10" t="str">
        <f aca="false">IF(H363="","No rating",IF(H363&lt;3.5,"Below 3.5",IF(H363&lt;4,"3.5-3.9",IF(H363&lt;4.5,"4.0-4.4","4.5+"))))</f>
        <v>4.0-4.4</v>
      </c>
    </row>
    <row r="364" customFormat="false" ht="15" hidden="false" customHeight="false" outlineLevel="0" collapsed="false">
      <c r="A364" s="10" t="s">
        <v>751</v>
      </c>
      <c r="B364" s="10" t="s">
        <v>752</v>
      </c>
      <c r="C364" s="10" t="s">
        <v>48</v>
      </c>
      <c r="D364" s="10" t="s">
        <v>713</v>
      </c>
      <c r="E364" s="11" t="n">
        <v>700</v>
      </c>
      <c r="F364" s="11" t="n">
        <v>369</v>
      </c>
      <c r="G364" s="12" t="n">
        <v>0.47</v>
      </c>
      <c r="H364" s="13" t="n">
        <v>4.4</v>
      </c>
      <c r="I364" s="11" t="n">
        <v>67259</v>
      </c>
      <c r="J364" s="11" t="n">
        <f aca="false">E364-F364</f>
        <v>331</v>
      </c>
      <c r="K364" s="10" t="str">
        <f aca="false">IF(G364&lt;0.2,"0-19%",IF(G364&lt;0.4,"20-39%",IF(G364&lt;0.6,"40-59%",IF(G364&lt;0.8,"60-79%","80%+"))))</f>
        <v>40-59%</v>
      </c>
      <c r="L364" s="10" t="str">
        <f aca="false">IF(H364="","No rating",IF(H364&lt;3.5,"Below 3.5",IF(H364&lt;4,"3.5-3.9",IF(H364&lt;4.5,"4.0-4.4","4.5+"))))</f>
        <v>4.0-4.4</v>
      </c>
    </row>
    <row r="365" customFormat="false" ht="15" hidden="false" customHeight="false" outlineLevel="0" collapsed="false">
      <c r="A365" s="10" t="s">
        <v>753</v>
      </c>
      <c r="B365" s="10" t="s">
        <v>754</v>
      </c>
      <c r="C365" s="10" t="s">
        <v>48</v>
      </c>
      <c r="D365" s="10" t="s">
        <v>700</v>
      </c>
      <c r="E365" s="11" t="n">
        <v>17999</v>
      </c>
      <c r="F365" s="11" t="n">
        <v>12999</v>
      </c>
      <c r="G365" s="12" t="n">
        <v>0.28</v>
      </c>
      <c r="H365" s="13" t="n">
        <v>4.1</v>
      </c>
      <c r="I365" s="11" t="n">
        <v>18998</v>
      </c>
      <c r="J365" s="11" t="n">
        <f aca="false">E365-F365</f>
        <v>5000</v>
      </c>
      <c r="K365" s="10" t="str">
        <f aca="false">IF(G365&lt;0.2,"0-19%",IF(G365&lt;0.4,"20-39%",IF(G365&lt;0.6,"40-59%",IF(G365&lt;0.8,"60-79%","80%+"))))</f>
        <v>20-39%</v>
      </c>
      <c r="L365" s="10" t="str">
        <f aca="false">IF(H365="","No rating",IF(H365&lt;3.5,"Below 3.5",IF(H365&lt;4,"3.5-3.9",IF(H365&lt;4.5,"4.0-4.4","4.5+"))))</f>
        <v>4.0-4.4</v>
      </c>
    </row>
    <row r="366" customFormat="false" ht="15" hidden="false" customHeight="false" outlineLevel="0" collapsed="false">
      <c r="A366" s="10" t="s">
        <v>755</v>
      </c>
      <c r="B366" s="10" t="s">
        <v>692</v>
      </c>
      <c r="C366" s="10" t="s">
        <v>48</v>
      </c>
      <c r="D366" s="10" t="s">
        <v>693</v>
      </c>
      <c r="E366" s="11" t="n">
        <v>19999</v>
      </c>
      <c r="F366" s="11" t="n">
        <v>1799</v>
      </c>
      <c r="G366" s="12" t="n">
        <v>0.91</v>
      </c>
      <c r="H366" s="13" t="n">
        <v>4.2</v>
      </c>
      <c r="I366" s="11" t="n">
        <v>13937</v>
      </c>
      <c r="J366" s="11" t="n">
        <f aca="false">E366-F366</f>
        <v>18200</v>
      </c>
      <c r="K366" s="10" t="str">
        <f aca="false">IF(G366&lt;0.2,"0-19%",IF(G366&lt;0.4,"20-39%",IF(G366&lt;0.6,"40-59%",IF(G366&lt;0.8,"60-79%","80%+"))))</f>
        <v>80%+</v>
      </c>
      <c r="L366" s="10" t="str">
        <f aca="false">IF(H366="","No rating",IF(H366&lt;3.5,"Below 3.5",IF(H366&lt;4,"3.5-3.9",IF(H366&lt;4.5,"4.0-4.4","4.5+"))))</f>
        <v>4.0-4.4</v>
      </c>
    </row>
    <row r="367" customFormat="false" ht="15" hidden="false" customHeight="false" outlineLevel="0" collapsed="false">
      <c r="A367" s="10" t="s">
        <v>756</v>
      </c>
      <c r="B367" s="10" t="s">
        <v>757</v>
      </c>
      <c r="C367" s="10" t="s">
        <v>48</v>
      </c>
      <c r="D367" s="10" t="s">
        <v>693</v>
      </c>
      <c r="E367" s="11" t="n">
        <v>9999</v>
      </c>
      <c r="F367" s="11" t="n">
        <v>2199</v>
      </c>
      <c r="G367" s="12" t="n">
        <v>0.78</v>
      </c>
      <c r="H367" s="13" t="n">
        <v>4.2</v>
      </c>
      <c r="I367" s="11" t="n">
        <v>29471</v>
      </c>
      <c r="J367" s="11" t="n">
        <f aca="false">E367-F367</f>
        <v>7800</v>
      </c>
      <c r="K367" s="10" t="str">
        <f aca="false">IF(G367&lt;0.2,"0-19%",IF(G367&lt;0.4,"20-39%",IF(G367&lt;0.6,"40-59%",IF(G367&lt;0.8,"60-79%","80%+"))))</f>
        <v>60-79%</v>
      </c>
      <c r="L367" s="10" t="str">
        <f aca="false">IF(H367="","No rating",IF(H367&lt;3.5,"Below 3.5",IF(H367&lt;4,"3.5-3.9",IF(H367&lt;4.5,"4.0-4.4","4.5+"))))</f>
        <v>4.0-4.4</v>
      </c>
    </row>
    <row r="368" customFormat="false" ht="15" hidden="false" customHeight="false" outlineLevel="0" collapsed="false">
      <c r="A368" s="10" t="s">
        <v>758</v>
      </c>
      <c r="B368" s="10" t="s">
        <v>759</v>
      </c>
      <c r="C368" s="10" t="s">
        <v>48</v>
      </c>
      <c r="D368" s="10" t="s">
        <v>700</v>
      </c>
      <c r="E368" s="11" t="n">
        <v>24999</v>
      </c>
      <c r="F368" s="11" t="n">
        <v>16999</v>
      </c>
      <c r="G368" s="12" t="n">
        <v>0.32</v>
      </c>
      <c r="H368" s="13" t="n">
        <v>4.1</v>
      </c>
      <c r="I368" s="11" t="n">
        <v>22318</v>
      </c>
      <c r="J368" s="11" t="n">
        <f aca="false">E368-F368</f>
        <v>8000</v>
      </c>
      <c r="K368" s="10" t="str">
        <f aca="false">IF(G368&lt;0.2,"0-19%",IF(G368&lt;0.4,"20-39%",IF(G368&lt;0.6,"40-59%",IF(G368&lt;0.8,"60-79%","80%+"))))</f>
        <v>20-39%</v>
      </c>
      <c r="L368" s="10" t="str">
        <f aca="false">IF(H368="","No rating",IF(H368&lt;3.5,"Below 3.5",IF(H368&lt;4,"3.5-3.9",IF(H368&lt;4.5,"4.0-4.4","4.5+"))))</f>
        <v>4.0-4.4</v>
      </c>
    </row>
    <row r="369" customFormat="false" ht="15" hidden="false" customHeight="false" outlineLevel="0" collapsed="false">
      <c r="A369" s="10" t="s">
        <v>760</v>
      </c>
      <c r="B369" s="10" t="s">
        <v>761</v>
      </c>
      <c r="C369" s="10" t="s">
        <v>48</v>
      </c>
      <c r="D369" s="10" t="s">
        <v>700</v>
      </c>
      <c r="E369" s="11" t="n">
        <v>20999</v>
      </c>
      <c r="F369" s="11" t="n">
        <v>16499</v>
      </c>
      <c r="G369" s="12" t="n">
        <v>0.21</v>
      </c>
      <c r="H369" s="13" t="n">
        <v>4</v>
      </c>
      <c r="I369" s="11" t="n">
        <v>21350</v>
      </c>
      <c r="J369" s="11" t="n">
        <f aca="false">E369-F369</f>
        <v>4500</v>
      </c>
      <c r="K369" s="10" t="str">
        <f aca="false">IF(G369&lt;0.2,"0-19%",IF(G369&lt;0.4,"20-39%",IF(G369&lt;0.6,"40-59%",IF(G369&lt;0.8,"60-79%","80%+"))))</f>
        <v>20-39%</v>
      </c>
      <c r="L369" s="10" t="str">
        <f aca="false">IF(H369="","No rating",IF(H369&lt;3.5,"Below 3.5",IF(H369&lt;4,"3.5-3.9",IF(H369&lt;4.5,"4.0-4.4","4.5+"))))</f>
        <v>4.0-4.4</v>
      </c>
    </row>
    <row r="370" customFormat="false" ht="15" hidden="false" customHeight="false" outlineLevel="0" collapsed="false">
      <c r="A370" s="10" t="s">
        <v>762</v>
      </c>
      <c r="B370" s="10" t="s">
        <v>692</v>
      </c>
      <c r="C370" s="10" t="s">
        <v>48</v>
      </c>
      <c r="D370" s="10" t="s">
        <v>693</v>
      </c>
      <c r="E370" s="11" t="n">
        <v>19999</v>
      </c>
      <c r="F370" s="11" t="n">
        <v>1799</v>
      </c>
      <c r="G370" s="12" t="n">
        <v>0.91</v>
      </c>
      <c r="H370" s="13" t="n">
        <v>4.2</v>
      </c>
      <c r="I370" s="11" t="n">
        <v>13937</v>
      </c>
      <c r="J370" s="11" t="n">
        <f aca="false">E370-F370</f>
        <v>18200</v>
      </c>
      <c r="K370" s="10" t="str">
        <f aca="false">IF(G370&lt;0.2,"0-19%",IF(G370&lt;0.4,"20-39%",IF(G370&lt;0.6,"40-59%",IF(G370&lt;0.8,"60-79%","80%+"))))</f>
        <v>80%+</v>
      </c>
      <c r="L370" s="10" t="str">
        <f aca="false">IF(H370="","No rating",IF(H370&lt;3.5,"Below 3.5",IF(H370&lt;4,"3.5-3.9",IF(H370&lt;4.5,"4.0-4.4","4.5+"))))</f>
        <v>4.0-4.4</v>
      </c>
    </row>
    <row r="371" customFormat="false" ht="15" hidden="false" customHeight="false" outlineLevel="0" collapsed="false">
      <c r="A371" s="10" t="s">
        <v>763</v>
      </c>
      <c r="B371" s="10" t="s">
        <v>764</v>
      </c>
      <c r="C371" s="10" t="s">
        <v>48</v>
      </c>
      <c r="D371" s="10" t="s">
        <v>700</v>
      </c>
      <c r="E371" s="11" t="n">
        <v>10999</v>
      </c>
      <c r="F371" s="11" t="n">
        <v>8499</v>
      </c>
      <c r="G371" s="12" t="n">
        <v>0.23</v>
      </c>
      <c r="H371" s="13" t="n">
        <v>4.1</v>
      </c>
      <c r="I371" s="11" t="n">
        <v>313836</v>
      </c>
      <c r="J371" s="11" t="n">
        <f aca="false">E371-F371</f>
        <v>2500</v>
      </c>
      <c r="K371" s="10" t="str">
        <f aca="false">IF(G371&lt;0.2,"0-19%",IF(G371&lt;0.4,"20-39%",IF(G371&lt;0.6,"40-59%",IF(G371&lt;0.8,"60-79%","80%+"))))</f>
        <v>20-39%</v>
      </c>
      <c r="L371" s="10" t="str">
        <f aca="false">IF(H371="","No rating",IF(H371&lt;3.5,"Below 3.5",IF(H371&lt;4,"3.5-3.9",IF(H371&lt;4.5,"4.0-4.4","4.5+"))))</f>
        <v>4.0-4.4</v>
      </c>
    </row>
    <row r="372" customFormat="false" ht="15" hidden="false" customHeight="false" outlineLevel="0" collapsed="false">
      <c r="A372" s="10" t="s">
        <v>765</v>
      </c>
      <c r="B372" s="10" t="s">
        <v>766</v>
      </c>
      <c r="C372" s="10" t="s">
        <v>48</v>
      </c>
      <c r="D372" s="10" t="s">
        <v>700</v>
      </c>
      <c r="E372" s="11" t="n">
        <v>8499</v>
      </c>
      <c r="F372" s="11" t="n">
        <v>6499</v>
      </c>
      <c r="G372" s="12" t="n">
        <v>0.24</v>
      </c>
      <c r="H372" s="13" t="n">
        <v>4.1</v>
      </c>
      <c r="I372" s="11" t="n">
        <v>313836</v>
      </c>
      <c r="J372" s="11" t="n">
        <f aca="false">E372-F372</f>
        <v>2000</v>
      </c>
      <c r="K372" s="10" t="str">
        <f aca="false">IF(G372&lt;0.2,"0-19%",IF(G372&lt;0.4,"20-39%",IF(G372&lt;0.6,"40-59%",IF(G372&lt;0.8,"60-79%","80%+"))))</f>
        <v>20-39%</v>
      </c>
      <c r="L372" s="10" t="str">
        <f aca="false">IF(H372="","No rating",IF(H372&lt;3.5,"Below 3.5",IF(H372&lt;4,"3.5-3.9",IF(H372&lt;4.5,"4.0-4.4","4.5+"))))</f>
        <v>4.0-4.4</v>
      </c>
    </row>
    <row r="373" customFormat="false" ht="15" hidden="false" customHeight="false" outlineLevel="0" collapsed="false">
      <c r="A373" s="10" t="s">
        <v>767</v>
      </c>
      <c r="B373" s="10" t="s">
        <v>692</v>
      </c>
      <c r="C373" s="10" t="s">
        <v>48</v>
      </c>
      <c r="D373" s="10" t="s">
        <v>693</v>
      </c>
      <c r="E373" s="11" t="n">
        <v>19999</v>
      </c>
      <c r="F373" s="11" t="n">
        <v>1799</v>
      </c>
      <c r="G373" s="12" t="n">
        <v>0.91</v>
      </c>
      <c r="H373" s="13" t="n">
        <v>4.2</v>
      </c>
      <c r="I373" s="11" t="n">
        <v>13937</v>
      </c>
      <c r="J373" s="11" t="n">
        <f aca="false">E373-F373</f>
        <v>18200</v>
      </c>
      <c r="K373" s="10" t="str">
        <f aca="false">IF(G373&lt;0.2,"0-19%",IF(G373&lt;0.4,"20-39%",IF(G373&lt;0.6,"40-59%",IF(G373&lt;0.8,"60-79%","80%+"))))</f>
        <v>80%+</v>
      </c>
      <c r="L373" s="10" t="str">
        <f aca="false">IF(H373="","No rating",IF(H373&lt;3.5,"Below 3.5",IF(H373&lt;4,"3.5-3.9",IF(H373&lt;4.5,"4.0-4.4","4.5+"))))</f>
        <v>4.0-4.4</v>
      </c>
    </row>
    <row r="374" customFormat="false" ht="15" hidden="false" customHeight="false" outlineLevel="0" collapsed="false">
      <c r="A374" s="10" t="s">
        <v>768</v>
      </c>
      <c r="B374" s="10" t="s">
        <v>769</v>
      </c>
      <c r="C374" s="10" t="s">
        <v>48</v>
      </c>
      <c r="D374" s="10" t="s">
        <v>700</v>
      </c>
      <c r="E374" s="11" t="n">
        <v>11999</v>
      </c>
      <c r="F374" s="11" t="n">
        <v>8999</v>
      </c>
      <c r="G374" s="12" t="n">
        <v>0.25</v>
      </c>
      <c r="H374" s="13" t="n">
        <v>4</v>
      </c>
      <c r="I374" s="11" t="n">
        <v>12796</v>
      </c>
      <c r="J374" s="11" t="n">
        <f aca="false">E374-F374</f>
        <v>3000</v>
      </c>
      <c r="K374" s="10" t="str">
        <f aca="false">IF(G374&lt;0.2,"0-19%",IF(G374&lt;0.4,"20-39%",IF(G374&lt;0.6,"40-59%",IF(G374&lt;0.8,"60-79%","80%+"))))</f>
        <v>20-39%</v>
      </c>
      <c r="L374" s="10" t="str">
        <f aca="false">IF(H374="","No rating",IF(H374&lt;3.5,"Below 3.5",IF(H374&lt;4,"3.5-3.9",IF(H374&lt;4.5,"4.0-4.4","4.5+"))))</f>
        <v>4.0-4.4</v>
      </c>
    </row>
    <row r="375" customFormat="false" ht="15" hidden="false" customHeight="false" outlineLevel="0" collapsed="false">
      <c r="A375" s="10" t="s">
        <v>770</v>
      </c>
      <c r="B375" s="10" t="s">
        <v>771</v>
      </c>
      <c r="C375" s="10" t="s">
        <v>48</v>
      </c>
      <c r="D375" s="10" t="s">
        <v>700</v>
      </c>
      <c r="E375" s="11" t="n">
        <v>495</v>
      </c>
      <c r="F375" s="11" t="n">
        <v>139</v>
      </c>
      <c r="G375" s="12" t="n">
        <v>0.72</v>
      </c>
      <c r="H375" s="13" t="n">
        <v>4.3</v>
      </c>
      <c r="I375" s="11" t="n">
        <v>14185</v>
      </c>
      <c r="J375" s="11" t="n">
        <f aca="false">E375-F375</f>
        <v>356</v>
      </c>
      <c r="K375" s="10" t="str">
        <f aca="false">IF(G375&lt;0.2,"0-19%",IF(G375&lt;0.4,"20-39%",IF(G375&lt;0.6,"40-59%",IF(G375&lt;0.8,"60-79%","80%+"))))</f>
        <v>60-79%</v>
      </c>
      <c r="L375" s="10" t="str">
        <f aca="false">IF(H375="","No rating",IF(H375&lt;3.5,"Below 3.5",IF(H375&lt;4,"3.5-3.9",IF(H375&lt;4.5,"4.0-4.4","4.5+"))))</f>
        <v>4.0-4.4</v>
      </c>
    </row>
    <row r="376" customFormat="false" ht="15" hidden="false" customHeight="false" outlineLevel="0" collapsed="false">
      <c r="A376" s="10" t="s">
        <v>772</v>
      </c>
      <c r="B376" s="10" t="s">
        <v>773</v>
      </c>
      <c r="C376" s="10" t="s">
        <v>48</v>
      </c>
      <c r="D376" s="10" t="s">
        <v>693</v>
      </c>
      <c r="E376" s="11" t="n">
        <v>16999</v>
      </c>
      <c r="F376" s="11" t="n">
        <v>3999</v>
      </c>
      <c r="G376" s="12" t="n">
        <v>0.76</v>
      </c>
      <c r="H376" s="13" t="n">
        <v>4.3</v>
      </c>
      <c r="I376" s="11" t="n">
        <v>17159</v>
      </c>
      <c r="J376" s="11" t="n">
        <f aca="false">E376-F376</f>
        <v>13000</v>
      </c>
      <c r="K376" s="10" t="str">
        <f aca="false">IF(G376&lt;0.2,"0-19%",IF(G376&lt;0.4,"20-39%",IF(G376&lt;0.6,"40-59%",IF(G376&lt;0.8,"60-79%","80%+"))))</f>
        <v>60-79%</v>
      </c>
      <c r="L376" s="10" t="str">
        <f aca="false">IF(H376="","No rating",IF(H376&lt;3.5,"Below 3.5",IF(H376&lt;4,"3.5-3.9",IF(H376&lt;4.5,"4.0-4.4","4.5+"))))</f>
        <v>4.0-4.4</v>
      </c>
    </row>
    <row r="377" customFormat="false" ht="15" hidden="false" customHeight="false" outlineLevel="0" collapsed="false">
      <c r="A377" s="10" t="s">
        <v>774</v>
      </c>
      <c r="B377" s="10" t="s">
        <v>775</v>
      </c>
      <c r="C377" s="10" t="s">
        <v>48</v>
      </c>
      <c r="D377" s="10" t="s">
        <v>693</v>
      </c>
      <c r="E377" s="11" t="n">
        <v>5999</v>
      </c>
      <c r="F377" s="11" t="n">
        <v>2998</v>
      </c>
      <c r="G377" s="12" t="n">
        <v>0.5</v>
      </c>
      <c r="H377" s="13" t="n">
        <v>4.1</v>
      </c>
      <c r="I377" s="11" t="n">
        <v>5179</v>
      </c>
      <c r="J377" s="11" t="n">
        <f aca="false">E377-F377</f>
        <v>3001</v>
      </c>
      <c r="K377" s="10" t="str">
        <f aca="false">IF(G377&lt;0.2,"0-19%",IF(G377&lt;0.4,"20-39%",IF(G377&lt;0.6,"40-59%",IF(G377&lt;0.8,"60-79%","80%+"))))</f>
        <v>40-59%</v>
      </c>
      <c r="L377" s="10" t="str">
        <f aca="false">IF(H377="","No rating",IF(H377&lt;3.5,"Below 3.5",IF(H377&lt;4,"3.5-3.9",IF(H377&lt;4.5,"4.0-4.4","4.5+"))))</f>
        <v>4.0-4.4</v>
      </c>
    </row>
    <row r="378" customFormat="false" ht="15" hidden="false" customHeight="false" outlineLevel="0" collapsed="false">
      <c r="A378" s="10" t="s">
        <v>776</v>
      </c>
      <c r="B378" s="10" t="s">
        <v>777</v>
      </c>
      <c r="C378" s="10" t="s">
        <v>48</v>
      </c>
      <c r="D378" s="10" t="s">
        <v>700</v>
      </c>
      <c r="E378" s="11" t="n">
        <v>18999</v>
      </c>
      <c r="F378" s="11" t="n">
        <v>15499</v>
      </c>
      <c r="G378" s="12" t="n">
        <v>0.18</v>
      </c>
      <c r="H378" s="13" t="n">
        <v>4.1</v>
      </c>
      <c r="I378" s="11" t="n">
        <v>19252</v>
      </c>
      <c r="J378" s="11" t="n">
        <f aca="false">E378-F378</f>
        <v>3500</v>
      </c>
      <c r="K378" s="10" t="str">
        <f aca="false">IF(G378&lt;0.2,"0-19%",IF(G378&lt;0.4,"20-39%",IF(G378&lt;0.6,"40-59%",IF(G378&lt;0.8,"60-79%","80%+"))))</f>
        <v>0-19%</v>
      </c>
      <c r="L378" s="10" t="str">
        <f aca="false">IF(H378="","No rating",IF(H378&lt;3.5,"Below 3.5",IF(H378&lt;4,"3.5-3.9",IF(H378&lt;4.5,"4.0-4.4","4.5+"))))</f>
        <v>4.0-4.4</v>
      </c>
    </row>
    <row r="379" customFormat="false" ht="15" hidden="false" customHeight="false" outlineLevel="0" collapsed="false">
      <c r="A379" s="10" t="s">
        <v>778</v>
      </c>
      <c r="B379" s="10" t="s">
        <v>692</v>
      </c>
      <c r="C379" s="10" t="s">
        <v>48</v>
      </c>
      <c r="D379" s="10" t="s">
        <v>693</v>
      </c>
      <c r="E379" s="11" t="n">
        <v>19999</v>
      </c>
      <c r="F379" s="11" t="n">
        <v>1799</v>
      </c>
      <c r="G379" s="12" t="n">
        <v>0.91</v>
      </c>
      <c r="H379" s="13" t="n">
        <v>4.2</v>
      </c>
      <c r="I379" s="11" t="n">
        <v>13937</v>
      </c>
      <c r="J379" s="11" t="n">
        <f aca="false">E379-F379</f>
        <v>18200</v>
      </c>
      <c r="K379" s="10" t="str">
        <f aca="false">IF(G379&lt;0.2,"0-19%",IF(G379&lt;0.4,"20-39%",IF(G379&lt;0.6,"40-59%",IF(G379&lt;0.8,"60-79%","80%+"))))</f>
        <v>80%+</v>
      </c>
      <c r="L379" s="10" t="str">
        <f aca="false">IF(H379="","No rating",IF(H379&lt;3.5,"Below 3.5",IF(H379&lt;4,"3.5-3.9",IF(H379&lt;4.5,"4.0-4.4","4.5+"))))</f>
        <v>4.0-4.4</v>
      </c>
    </row>
    <row r="380" customFormat="false" ht="15" hidden="false" customHeight="false" outlineLevel="0" collapsed="false">
      <c r="A380" s="10" t="s">
        <v>779</v>
      </c>
      <c r="B380" s="10" t="s">
        <v>780</v>
      </c>
      <c r="C380" s="10" t="s">
        <v>48</v>
      </c>
      <c r="D380" s="10" t="s">
        <v>700</v>
      </c>
      <c r="E380" s="11" t="n">
        <v>11999</v>
      </c>
      <c r="F380" s="11" t="n">
        <v>8999</v>
      </c>
      <c r="G380" s="12" t="n">
        <v>0.25</v>
      </c>
      <c r="H380" s="13" t="n">
        <v>4</v>
      </c>
      <c r="I380" s="11" t="n">
        <v>12796</v>
      </c>
      <c r="J380" s="11" t="n">
        <f aca="false">E380-F380</f>
        <v>3000</v>
      </c>
      <c r="K380" s="10" t="str">
        <f aca="false">IF(G380&lt;0.2,"0-19%",IF(G380&lt;0.4,"20-39%",IF(G380&lt;0.6,"40-59%",IF(G380&lt;0.8,"60-79%","80%+"))))</f>
        <v>20-39%</v>
      </c>
      <c r="L380" s="10" t="str">
        <f aca="false">IF(H380="","No rating",IF(H380&lt;3.5,"Below 3.5",IF(H380&lt;4,"3.5-3.9",IF(H380&lt;4.5,"4.0-4.4","4.5+"))))</f>
        <v>4.0-4.4</v>
      </c>
    </row>
    <row r="381" customFormat="false" ht="15" hidden="false" customHeight="false" outlineLevel="0" collapsed="false">
      <c r="A381" s="10" t="s">
        <v>781</v>
      </c>
      <c r="B381" s="10" t="s">
        <v>782</v>
      </c>
      <c r="C381" s="10" t="s">
        <v>48</v>
      </c>
      <c r="D381" s="10" t="s">
        <v>700</v>
      </c>
      <c r="E381" s="11" t="n">
        <v>1699</v>
      </c>
      <c r="F381" s="11" t="n">
        <v>873</v>
      </c>
      <c r="G381" s="12" t="n">
        <v>0.49</v>
      </c>
      <c r="H381" s="13" t="n">
        <v>4.4</v>
      </c>
      <c r="I381" s="11" t="n">
        <v>1680</v>
      </c>
      <c r="J381" s="11" t="n">
        <f aca="false">E381-F381</f>
        <v>826</v>
      </c>
      <c r="K381" s="10" t="str">
        <f aca="false">IF(G381&lt;0.2,"0-19%",IF(G381&lt;0.4,"20-39%",IF(G381&lt;0.6,"40-59%",IF(G381&lt;0.8,"60-79%","80%+"))))</f>
        <v>40-59%</v>
      </c>
      <c r="L381" s="10" t="str">
        <f aca="false">IF(H381="","No rating",IF(H381&lt;3.5,"Below 3.5",IF(H381&lt;4,"3.5-3.9",IF(H381&lt;4.5,"4.0-4.4","4.5+"))))</f>
        <v>4.0-4.4</v>
      </c>
    </row>
    <row r="382" customFormat="false" ht="15" hidden="false" customHeight="false" outlineLevel="0" collapsed="false">
      <c r="A382" s="10" t="s">
        <v>783</v>
      </c>
      <c r="B382" s="10" t="s">
        <v>784</v>
      </c>
      <c r="C382" s="10" t="s">
        <v>48</v>
      </c>
      <c r="D382" s="10" t="s">
        <v>700</v>
      </c>
      <c r="E382" s="11" t="n">
        <v>15999</v>
      </c>
      <c r="F382" s="11" t="n">
        <v>12999</v>
      </c>
      <c r="G382" s="12" t="n">
        <v>0.19</v>
      </c>
      <c r="H382" s="13" t="n">
        <v>4.2</v>
      </c>
      <c r="I382" s="11" t="n">
        <v>13246</v>
      </c>
      <c r="J382" s="11" t="n">
        <f aca="false">E382-F382</f>
        <v>3000</v>
      </c>
      <c r="K382" s="10" t="str">
        <f aca="false">IF(G382&lt;0.2,"0-19%",IF(G382&lt;0.4,"20-39%",IF(G382&lt;0.6,"40-59%",IF(G382&lt;0.8,"60-79%","80%+"))))</f>
        <v>0-19%</v>
      </c>
      <c r="L382" s="10" t="str">
        <f aca="false">IF(H382="","No rating",IF(H382&lt;3.5,"Below 3.5",IF(H382&lt;4,"3.5-3.9",IF(H382&lt;4.5,"4.0-4.4","4.5+"))))</f>
        <v>4.0-4.4</v>
      </c>
    </row>
    <row r="383" customFormat="false" ht="15" hidden="false" customHeight="false" outlineLevel="0" collapsed="false">
      <c r="A383" s="10" t="s">
        <v>785</v>
      </c>
      <c r="B383" s="10" t="s">
        <v>786</v>
      </c>
      <c r="C383" s="10" t="s">
        <v>48</v>
      </c>
      <c r="D383" s="10" t="s">
        <v>700</v>
      </c>
      <c r="E383" s="11" t="n">
        <v>1599</v>
      </c>
      <c r="F383" s="11" t="n">
        <v>539</v>
      </c>
      <c r="G383" s="12" t="n">
        <v>0.66</v>
      </c>
      <c r="H383" s="13" t="n">
        <v>3.8</v>
      </c>
      <c r="I383" s="11" t="n">
        <v>14648</v>
      </c>
      <c r="J383" s="11" t="n">
        <f aca="false">E383-F383</f>
        <v>1060</v>
      </c>
      <c r="K383" s="10" t="str">
        <f aca="false">IF(G383&lt;0.2,"0-19%",IF(G383&lt;0.4,"20-39%",IF(G383&lt;0.6,"40-59%",IF(G383&lt;0.8,"60-79%","80%+"))))</f>
        <v>60-79%</v>
      </c>
      <c r="L383" s="10" t="str">
        <f aca="false">IF(H383="","No rating",IF(H383&lt;3.5,"Below 3.5",IF(H383&lt;4,"3.5-3.9",IF(H383&lt;4.5,"4.0-4.4","4.5+"))))</f>
        <v>3.5-3.9</v>
      </c>
    </row>
    <row r="384" customFormat="false" ht="15" hidden="false" customHeight="false" outlineLevel="0" collapsed="false">
      <c r="A384" s="10" t="s">
        <v>787</v>
      </c>
      <c r="B384" s="10" t="s">
        <v>695</v>
      </c>
      <c r="C384" s="10" t="s">
        <v>48</v>
      </c>
      <c r="D384" s="10" t="s">
        <v>693</v>
      </c>
      <c r="E384" s="11" t="n">
        <v>9999</v>
      </c>
      <c r="F384" s="11" t="n">
        <v>1999</v>
      </c>
      <c r="G384" s="12" t="n">
        <v>0.8</v>
      </c>
      <c r="H384" s="13" t="n">
        <v>4.3</v>
      </c>
      <c r="I384" s="11" t="n">
        <v>27696</v>
      </c>
      <c r="J384" s="11" t="n">
        <f aca="false">E384-F384</f>
        <v>8000</v>
      </c>
      <c r="K384" s="10" t="str">
        <f aca="false">IF(G384&lt;0.2,"0-19%",IF(G384&lt;0.4,"20-39%",IF(G384&lt;0.6,"40-59%",IF(G384&lt;0.8,"60-79%","80%+"))))</f>
        <v>80%+</v>
      </c>
      <c r="L384" s="10" t="str">
        <f aca="false">IF(H384="","No rating",IF(H384&lt;3.5,"Below 3.5",IF(H384&lt;4,"3.5-3.9",IF(H384&lt;4.5,"4.0-4.4","4.5+"))))</f>
        <v>4.0-4.4</v>
      </c>
    </row>
    <row r="385" customFormat="false" ht="15" hidden="false" customHeight="false" outlineLevel="0" collapsed="false">
      <c r="A385" s="10" t="s">
        <v>788</v>
      </c>
      <c r="B385" s="10" t="s">
        <v>789</v>
      </c>
      <c r="C385" s="10" t="s">
        <v>48</v>
      </c>
      <c r="D385" s="10" t="s">
        <v>700</v>
      </c>
      <c r="E385" s="11" t="n">
        <v>20990</v>
      </c>
      <c r="F385" s="11" t="n">
        <v>15490</v>
      </c>
      <c r="G385" s="12" t="n">
        <v>0.26</v>
      </c>
      <c r="H385" s="13" t="n">
        <v>4.2</v>
      </c>
      <c r="I385" s="11" t="n">
        <v>32916</v>
      </c>
      <c r="J385" s="11" t="n">
        <f aca="false">E385-F385</f>
        <v>5500</v>
      </c>
      <c r="K385" s="10" t="str">
        <f aca="false">IF(G385&lt;0.2,"0-19%",IF(G385&lt;0.4,"20-39%",IF(G385&lt;0.6,"40-59%",IF(G385&lt;0.8,"60-79%","80%+"))))</f>
        <v>20-39%</v>
      </c>
      <c r="L385" s="10" t="str">
        <f aca="false">IF(H385="","No rating",IF(H385&lt;3.5,"Below 3.5",IF(H385&lt;4,"3.5-3.9",IF(H385&lt;4.5,"4.0-4.4","4.5+"))))</f>
        <v>4.0-4.4</v>
      </c>
    </row>
    <row r="386" customFormat="false" ht="15" hidden="false" customHeight="false" outlineLevel="0" collapsed="false">
      <c r="A386" s="10" t="s">
        <v>790</v>
      </c>
      <c r="B386" s="10" t="s">
        <v>791</v>
      </c>
      <c r="C386" s="10" t="s">
        <v>48</v>
      </c>
      <c r="D386" s="10" t="s">
        <v>700</v>
      </c>
      <c r="E386" s="11" t="n">
        <v>24999</v>
      </c>
      <c r="F386" s="11" t="n">
        <v>19999</v>
      </c>
      <c r="G386" s="12" t="n">
        <v>0.2</v>
      </c>
      <c r="H386" s="13" t="n">
        <v>3.9</v>
      </c>
      <c r="I386" s="11" t="n">
        <v>25824</v>
      </c>
      <c r="J386" s="11" t="n">
        <f aca="false">E386-F386</f>
        <v>5000</v>
      </c>
      <c r="K386" s="10" t="str">
        <f aca="false">IF(G386&lt;0.2,"0-19%",IF(G386&lt;0.4,"20-39%",IF(G386&lt;0.6,"40-59%",IF(G386&lt;0.8,"60-79%","80%+"))))</f>
        <v>20-39%</v>
      </c>
      <c r="L386" s="10" t="str">
        <f aca="false">IF(H386="","No rating",IF(H386&lt;3.5,"Below 3.5",IF(H386&lt;4,"3.5-3.9",IF(H386&lt;4.5,"4.0-4.4","4.5+"))))</f>
        <v>3.5-3.9</v>
      </c>
    </row>
    <row r="387" customFormat="false" ht="15" hidden="false" customHeight="false" outlineLevel="0" collapsed="false">
      <c r="A387" s="10" t="s">
        <v>792</v>
      </c>
      <c r="B387" s="10" t="s">
        <v>793</v>
      </c>
      <c r="C387" s="10" t="s">
        <v>48</v>
      </c>
      <c r="D387" s="10" t="s">
        <v>700</v>
      </c>
      <c r="E387" s="11" t="n">
        <v>1699</v>
      </c>
      <c r="F387" s="11" t="n">
        <v>1075</v>
      </c>
      <c r="G387" s="12" t="n">
        <v>0.37</v>
      </c>
      <c r="H387" s="13" t="n">
        <v>4.4</v>
      </c>
      <c r="I387" s="11" t="n">
        <v>7462</v>
      </c>
      <c r="J387" s="11" t="n">
        <f aca="false">E387-F387</f>
        <v>624</v>
      </c>
      <c r="K387" s="10" t="str">
        <f aca="false">IF(G387&lt;0.2,"0-19%",IF(G387&lt;0.4,"20-39%",IF(G387&lt;0.6,"40-59%",IF(G387&lt;0.8,"60-79%","80%+"))))</f>
        <v>20-39%</v>
      </c>
      <c r="L387" s="10" t="str">
        <f aca="false">IF(H387="","No rating",IF(H387&lt;3.5,"Below 3.5",IF(H387&lt;4,"3.5-3.9",IF(H387&lt;4.5,"4.0-4.4","4.5+"))))</f>
        <v>4.0-4.4</v>
      </c>
    </row>
    <row r="388" customFormat="false" ht="15" hidden="false" customHeight="false" outlineLevel="0" collapsed="false">
      <c r="A388" s="10" t="s">
        <v>794</v>
      </c>
      <c r="B388" s="10" t="s">
        <v>795</v>
      </c>
      <c r="C388" s="10" t="s">
        <v>48</v>
      </c>
      <c r="D388" s="10" t="s">
        <v>722</v>
      </c>
      <c r="E388" s="11" t="n">
        <v>699</v>
      </c>
      <c r="F388" s="11" t="n">
        <v>399</v>
      </c>
      <c r="G388" s="12" t="n">
        <v>0.43</v>
      </c>
      <c r="H388" s="13" t="n">
        <v>4</v>
      </c>
      <c r="I388" s="11" t="n">
        <v>37817</v>
      </c>
      <c r="J388" s="11" t="n">
        <f aca="false">E388-F388</f>
        <v>300</v>
      </c>
      <c r="K388" s="10" t="str">
        <f aca="false">IF(G388&lt;0.2,"0-19%",IF(G388&lt;0.4,"20-39%",IF(G388&lt;0.6,"40-59%",IF(G388&lt;0.8,"60-79%","80%+"))))</f>
        <v>40-59%</v>
      </c>
      <c r="L388" s="10" t="str">
        <f aca="false">IF(H388="","No rating",IF(H388&lt;3.5,"Below 3.5",IF(H388&lt;4,"3.5-3.9",IF(H388&lt;4.5,"4.0-4.4","4.5+"))))</f>
        <v>4.0-4.4</v>
      </c>
    </row>
    <row r="389" customFormat="false" ht="15" hidden="false" customHeight="false" outlineLevel="0" collapsed="false">
      <c r="A389" s="10" t="s">
        <v>796</v>
      </c>
      <c r="B389" s="10" t="s">
        <v>797</v>
      </c>
      <c r="C389" s="10" t="s">
        <v>48</v>
      </c>
      <c r="D389" s="10" t="s">
        <v>693</v>
      </c>
      <c r="E389" s="11" t="n">
        <v>3990</v>
      </c>
      <c r="F389" s="11" t="n">
        <v>1999</v>
      </c>
      <c r="G389" s="12" t="n">
        <v>0.5</v>
      </c>
      <c r="H389" s="13" t="n">
        <v>4</v>
      </c>
      <c r="I389" s="11" t="n">
        <v>30254</v>
      </c>
      <c r="J389" s="11" t="n">
        <f aca="false">E389-F389</f>
        <v>1991</v>
      </c>
      <c r="K389" s="10" t="str">
        <f aca="false">IF(G389&lt;0.2,"0-19%",IF(G389&lt;0.4,"20-39%",IF(G389&lt;0.6,"40-59%",IF(G389&lt;0.8,"60-79%","80%+"))))</f>
        <v>40-59%</v>
      </c>
      <c r="L389" s="10" t="str">
        <f aca="false">IF(H389="","No rating",IF(H389&lt;3.5,"Below 3.5",IF(H389&lt;4,"3.5-3.9",IF(H389&lt;4.5,"4.0-4.4","4.5+"))))</f>
        <v>4.0-4.4</v>
      </c>
    </row>
    <row r="390" customFormat="false" ht="15" hidden="false" customHeight="false" outlineLevel="0" collapsed="false">
      <c r="A390" s="10" t="s">
        <v>798</v>
      </c>
      <c r="B390" s="10" t="s">
        <v>799</v>
      </c>
      <c r="C390" s="10" t="s">
        <v>48</v>
      </c>
      <c r="D390" s="10" t="s">
        <v>693</v>
      </c>
      <c r="E390" s="11" t="n">
        <v>7990</v>
      </c>
      <c r="F390" s="11" t="n">
        <v>1999</v>
      </c>
      <c r="G390" s="12" t="n">
        <v>0.75</v>
      </c>
      <c r="H390" s="13" t="n">
        <v>3.8</v>
      </c>
      <c r="I390" s="11" t="n">
        <v>17831</v>
      </c>
      <c r="J390" s="11" t="n">
        <f aca="false">E390-F390</f>
        <v>5991</v>
      </c>
      <c r="K390" s="10" t="str">
        <f aca="false">IF(G390&lt;0.2,"0-19%",IF(G390&lt;0.4,"20-39%",IF(G390&lt;0.6,"40-59%",IF(G390&lt;0.8,"60-79%","80%+"))))</f>
        <v>60-79%</v>
      </c>
      <c r="L390" s="10" t="str">
        <f aca="false">IF(H390="","No rating",IF(H390&lt;3.5,"Below 3.5",IF(H390&lt;4,"3.5-3.9",IF(H390&lt;4.5,"4.0-4.4","4.5+"))))</f>
        <v>3.5-3.9</v>
      </c>
    </row>
    <row r="391" customFormat="false" ht="15" hidden="false" customHeight="false" outlineLevel="0" collapsed="false">
      <c r="A391" s="10" t="s">
        <v>800</v>
      </c>
      <c r="B391" s="10" t="s">
        <v>801</v>
      </c>
      <c r="C391" s="10" t="s">
        <v>48</v>
      </c>
      <c r="D391" s="10" t="s">
        <v>700</v>
      </c>
      <c r="E391" s="11" t="n">
        <v>34999</v>
      </c>
      <c r="F391" s="11" t="n">
        <v>28999</v>
      </c>
      <c r="G391" s="12" t="n">
        <v>0.17</v>
      </c>
      <c r="H391" s="13" t="n">
        <v>4.4</v>
      </c>
      <c r="I391" s="11" t="n">
        <v>20311</v>
      </c>
      <c r="J391" s="11" t="n">
        <f aca="false">E391-F391</f>
        <v>6000</v>
      </c>
      <c r="K391" s="10" t="str">
        <f aca="false">IF(G391&lt;0.2,"0-19%",IF(G391&lt;0.4,"20-39%",IF(G391&lt;0.6,"40-59%",IF(G391&lt;0.8,"60-79%","80%+"))))</f>
        <v>0-19%</v>
      </c>
      <c r="L391" s="10" t="str">
        <f aca="false">IF(H391="","No rating",IF(H391&lt;3.5,"Below 3.5",IF(H391&lt;4,"3.5-3.9",IF(H391&lt;4.5,"4.0-4.4","4.5+"))))</f>
        <v>4.0-4.4</v>
      </c>
    </row>
    <row r="392" customFormat="false" ht="15" hidden="false" customHeight="false" outlineLevel="0" collapsed="false">
      <c r="A392" s="10" t="s">
        <v>802</v>
      </c>
      <c r="B392" s="10" t="s">
        <v>803</v>
      </c>
      <c r="C392" s="10" t="s">
        <v>48</v>
      </c>
      <c r="D392" s="10" t="s">
        <v>693</v>
      </c>
      <c r="E392" s="11" t="n">
        <v>7990</v>
      </c>
      <c r="F392" s="11" t="n">
        <v>2299</v>
      </c>
      <c r="G392" s="12" t="n">
        <v>0.71</v>
      </c>
      <c r="H392" s="13" t="n">
        <v>4.2</v>
      </c>
      <c r="I392" s="11" t="n">
        <v>69622</v>
      </c>
      <c r="J392" s="11" t="n">
        <f aca="false">E392-F392</f>
        <v>5691</v>
      </c>
      <c r="K392" s="10" t="str">
        <f aca="false">IF(G392&lt;0.2,"0-19%",IF(G392&lt;0.4,"20-39%",IF(G392&lt;0.6,"40-59%",IF(G392&lt;0.8,"60-79%","80%+"))))</f>
        <v>60-79%</v>
      </c>
      <c r="L392" s="10" t="str">
        <f aca="false">IF(H392="","No rating",IF(H392&lt;3.5,"Below 3.5",IF(H392&lt;4,"3.5-3.9",IF(H392&lt;4.5,"4.0-4.4","4.5+"))))</f>
        <v>4.0-4.4</v>
      </c>
    </row>
    <row r="393" customFormat="false" ht="15" hidden="false" customHeight="false" outlineLevel="0" collapsed="false">
      <c r="A393" s="10" t="s">
        <v>804</v>
      </c>
      <c r="B393" s="10" t="s">
        <v>805</v>
      </c>
      <c r="C393" s="10" t="s">
        <v>48</v>
      </c>
      <c r="D393" s="10" t="s">
        <v>700</v>
      </c>
      <c r="E393" s="11" t="n">
        <v>1999</v>
      </c>
      <c r="F393" s="11" t="n">
        <v>399</v>
      </c>
      <c r="G393" s="12" t="n">
        <v>0.8</v>
      </c>
      <c r="H393" s="13" t="n">
        <v>4</v>
      </c>
      <c r="I393" s="11" t="n">
        <v>3382</v>
      </c>
      <c r="J393" s="11" t="n">
        <f aca="false">E393-F393</f>
        <v>1600</v>
      </c>
      <c r="K393" s="10" t="str">
        <f aca="false">IF(G393&lt;0.2,"0-19%",IF(G393&lt;0.4,"20-39%",IF(G393&lt;0.6,"40-59%",IF(G393&lt;0.8,"60-79%","80%+"))))</f>
        <v>80%+</v>
      </c>
      <c r="L393" s="10" t="str">
        <f aca="false">IF(H393="","No rating",IF(H393&lt;3.5,"Below 3.5",IF(H393&lt;4,"3.5-3.9",IF(H393&lt;4.5,"4.0-4.4","4.5+"))))</f>
        <v>4.0-4.4</v>
      </c>
    </row>
    <row r="394" customFormat="false" ht="15" hidden="false" customHeight="false" outlineLevel="0" collapsed="false">
      <c r="A394" s="10" t="s">
        <v>806</v>
      </c>
      <c r="B394" s="10" t="s">
        <v>807</v>
      </c>
      <c r="C394" s="10" t="s">
        <v>48</v>
      </c>
      <c r="D394" s="10" t="s">
        <v>713</v>
      </c>
      <c r="E394" s="11" t="n">
        <v>3999</v>
      </c>
      <c r="F394" s="11" t="n">
        <v>1149</v>
      </c>
      <c r="G394" s="12" t="n">
        <v>0.71</v>
      </c>
      <c r="H394" s="13" t="n">
        <v>4.3</v>
      </c>
      <c r="I394" s="11" t="n">
        <v>140036</v>
      </c>
      <c r="J394" s="11" t="n">
        <f aca="false">E394-F394</f>
        <v>2850</v>
      </c>
      <c r="K394" s="10" t="str">
        <f aca="false">IF(G394&lt;0.2,"0-19%",IF(G394&lt;0.4,"20-39%",IF(G394&lt;0.6,"40-59%",IF(G394&lt;0.8,"60-79%","80%+"))))</f>
        <v>60-79%</v>
      </c>
      <c r="L394" s="10" t="str">
        <f aca="false">IF(H394="","No rating",IF(H394&lt;3.5,"Below 3.5",IF(H394&lt;4,"3.5-3.9",IF(H394&lt;4.5,"4.0-4.4","4.5+"))))</f>
        <v>4.0-4.4</v>
      </c>
    </row>
    <row r="395" customFormat="false" ht="15" hidden="false" customHeight="false" outlineLevel="0" collapsed="false">
      <c r="A395" s="10" t="s">
        <v>808</v>
      </c>
      <c r="B395" s="10" t="s">
        <v>809</v>
      </c>
      <c r="C395" s="10" t="s">
        <v>48</v>
      </c>
      <c r="D395" s="10" t="s">
        <v>700</v>
      </c>
      <c r="E395" s="11" t="n">
        <v>1499</v>
      </c>
      <c r="F395" s="11" t="n">
        <v>529</v>
      </c>
      <c r="G395" s="12" t="n">
        <v>0.65</v>
      </c>
      <c r="H395" s="13" t="n">
        <v>4.1</v>
      </c>
      <c r="I395" s="11" t="n">
        <v>8599</v>
      </c>
      <c r="J395" s="11" t="n">
        <f aca="false">E395-F395</f>
        <v>970</v>
      </c>
      <c r="K395" s="10" t="str">
        <f aca="false">IF(G395&lt;0.2,"0-19%",IF(G395&lt;0.4,"20-39%",IF(G395&lt;0.6,"40-59%",IF(G395&lt;0.8,"60-79%","80%+"))))</f>
        <v>60-79%</v>
      </c>
      <c r="L395" s="10" t="str">
        <f aca="false">IF(H395="","No rating",IF(H395&lt;3.5,"Below 3.5",IF(H395&lt;4,"3.5-3.9",IF(H395&lt;4.5,"4.0-4.4","4.5+"))))</f>
        <v>4.0-4.4</v>
      </c>
    </row>
    <row r="396" customFormat="false" ht="15" hidden="false" customHeight="false" outlineLevel="0" collapsed="false">
      <c r="A396" s="10" t="s">
        <v>810</v>
      </c>
      <c r="B396" s="10" t="s">
        <v>811</v>
      </c>
      <c r="C396" s="10" t="s">
        <v>48</v>
      </c>
      <c r="D396" s="10" t="s">
        <v>700</v>
      </c>
      <c r="E396" s="11" t="n">
        <v>19499</v>
      </c>
      <c r="F396" s="11" t="n">
        <v>13999</v>
      </c>
      <c r="G396" s="12" t="n">
        <v>0.28</v>
      </c>
      <c r="H396" s="13" t="n">
        <v>4.1</v>
      </c>
      <c r="I396" s="11" t="n">
        <v>18998</v>
      </c>
      <c r="J396" s="11" t="n">
        <f aca="false">E396-F396</f>
        <v>5500</v>
      </c>
      <c r="K396" s="10" t="str">
        <f aca="false">IF(G396&lt;0.2,"0-19%",IF(G396&lt;0.4,"20-39%",IF(G396&lt;0.6,"40-59%",IF(G396&lt;0.8,"60-79%","80%+"))))</f>
        <v>20-39%</v>
      </c>
      <c r="L396" s="10" t="str">
        <f aca="false">IF(H396="","No rating",IF(H396&lt;3.5,"Below 3.5",IF(H396&lt;4,"3.5-3.9",IF(H396&lt;4.5,"4.0-4.4","4.5+"))))</f>
        <v>4.0-4.4</v>
      </c>
    </row>
    <row r="397" customFormat="false" ht="15" hidden="false" customHeight="false" outlineLevel="0" collapsed="false">
      <c r="A397" s="10" t="s">
        <v>812</v>
      </c>
      <c r="B397" s="10" t="s">
        <v>813</v>
      </c>
      <c r="C397" s="10" t="s">
        <v>48</v>
      </c>
      <c r="D397" s="10" t="s">
        <v>722</v>
      </c>
      <c r="E397" s="11" t="n">
        <v>999</v>
      </c>
      <c r="F397" s="11" t="n">
        <v>379</v>
      </c>
      <c r="G397" s="12" t="n">
        <v>0.62</v>
      </c>
      <c r="H397" s="13" t="n">
        <v>4.1</v>
      </c>
      <c r="I397" s="11" t="n">
        <v>363713</v>
      </c>
      <c r="J397" s="11" t="n">
        <f aca="false">E397-F397</f>
        <v>620</v>
      </c>
      <c r="K397" s="10" t="str">
        <f aca="false">IF(G397&lt;0.2,"0-19%",IF(G397&lt;0.4,"20-39%",IF(G397&lt;0.6,"40-59%",IF(G397&lt;0.8,"60-79%","80%+"))))</f>
        <v>60-79%</v>
      </c>
      <c r="L397" s="10" t="str">
        <f aca="false">IF(H397="","No rating",IF(H397&lt;3.5,"Below 3.5",IF(H397&lt;4,"3.5-3.9",IF(H397&lt;4.5,"4.0-4.4","4.5+"))))</f>
        <v>4.0-4.4</v>
      </c>
    </row>
    <row r="398" customFormat="false" ht="15" hidden="false" customHeight="false" outlineLevel="0" collapsed="false">
      <c r="A398" s="10" t="s">
        <v>814</v>
      </c>
      <c r="B398" s="10" t="s">
        <v>815</v>
      </c>
      <c r="C398" s="10" t="s">
        <v>48</v>
      </c>
      <c r="D398" s="10" t="s">
        <v>700</v>
      </c>
      <c r="E398" s="11" t="n">
        <v>19999</v>
      </c>
      <c r="F398" s="11" t="n">
        <v>13999</v>
      </c>
      <c r="G398" s="12" t="n">
        <v>0.3</v>
      </c>
      <c r="H398" s="13" t="n">
        <v>4.1</v>
      </c>
      <c r="I398" s="11" t="n">
        <v>19252</v>
      </c>
      <c r="J398" s="11" t="n">
        <f aca="false">E398-F398</f>
        <v>6000</v>
      </c>
      <c r="K398" s="10" t="str">
        <f aca="false">IF(G398&lt;0.2,"0-19%",IF(G398&lt;0.4,"20-39%",IF(G398&lt;0.6,"40-59%",IF(G398&lt;0.8,"60-79%","80%+"))))</f>
        <v>20-39%</v>
      </c>
      <c r="L398" s="10" t="str">
        <f aca="false">IF(H398="","No rating",IF(H398&lt;3.5,"Below 3.5",IF(H398&lt;4,"3.5-3.9",IF(H398&lt;4.5,"4.0-4.4","4.5+"))))</f>
        <v>4.0-4.4</v>
      </c>
    </row>
    <row r="399" customFormat="false" ht="15" hidden="false" customHeight="false" outlineLevel="0" collapsed="false">
      <c r="A399" s="10" t="s">
        <v>816</v>
      </c>
      <c r="B399" s="10" t="s">
        <v>817</v>
      </c>
      <c r="C399" s="10" t="s">
        <v>48</v>
      </c>
      <c r="D399" s="10" t="s">
        <v>693</v>
      </c>
      <c r="E399" s="11" t="n">
        <v>9999</v>
      </c>
      <c r="F399" s="11" t="n">
        <v>3999</v>
      </c>
      <c r="G399" s="12" t="n">
        <v>0.6</v>
      </c>
      <c r="H399" s="13" t="n">
        <v>4.4</v>
      </c>
      <c r="I399" s="11" t="n">
        <v>73</v>
      </c>
      <c r="J399" s="11" t="n">
        <f aca="false">E399-F399</f>
        <v>6000</v>
      </c>
      <c r="K399" s="10" t="str">
        <f aca="false">IF(G399&lt;0.2,"0-19%",IF(G399&lt;0.4,"20-39%",IF(G399&lt;0.6,"40-59%",IF(G399&lt;0.8,"60-79%","80%+"))))</f>
        <v>60-79%</v>
      </c>
      <c r="L399" s="10" t="str">
        <f aca="false">IF(H399="","No rating",IF(H399&lt;3.5,"Below 3.5",IF(H399&lt;4,"3.5-3.9",IF(H399&lt;4.5,"4.0-4.4","4.5+"))))</f>
        <v>4.0-4.4</v>
      </c>
    </row>
    <row r="400" customFormat="false" ht="15" hidden="false" customHeight="false" outlineLevel="0" collapsed="false">
      <c r="A400" s="10" t="s">
        <v>818</v>
      </c>
      <c r="B400" s="10" t="s">
        <v>819</v>
      </c>
      <c r="C400" s="10" t="s">
        <v>48</v>
      </c>
      <c r="D400" s="10" t="s">
        <v>700</v>
      </c>
      <c r="E400" s="11" t="n">
        <v>499</v>
      </c>
      <c r="F400" s="11" t="n">
        <v>99</v>
      </c>
      <c r="G400" s="12" t="n">
        <v>0.8</v>
      </c>
      <c r="H400" s="13" t="n">
        <v>4.3</v>
      </c>
      <c r="I400" s="11" t="n">
        <v>42641</v>
      </c>
      <c r="J400" s="11" t="n">
        <f aca="false">E400-F400</f>
        <v>400</v>
      </c>
      <c r="K400" s="10" t="str">
        <f aca="false">IF(G400&lt;0.2,"0-19%",IF(G400&lt;0.4,"20-39%",IF(G400&lt;0.6,"40-59%",IF(G400&lt;0.8,"60-79%","80%+"))))</f>
        <v>80%+</v>
      </c>
      <c r="L400" s="10" t="str">
        <f aca="false">IF(H400="","No rating",IF(H400&lt;3.5,"Below 3.5",IF(H400&lt;4,"3.5-3.9",IF(H400&lt;4.5,"4.0-4.4","4.5+"))))</f>
        <v>4.0-4.4</v>
      </c>
    </row>
    <row r="401" customFormat="false" ht="15" hidden="false" customHeight="false" outlineLevel="0" collapsed="false">
      <c r="A401" s="10" t="s">
        <v>820</v>
      </c>
      <c r="B401" s="10" t="s">
        <v>821</v>
      </c>
      <c r="C401" s="10" t="s">
        <v>48</v>
      </c>
      <c r="D401" s="10" t="s">
        <v>722</v>
      </c>
      <c r="E401" s="11" t="n">
        <v>15990</v>
      </c>
      <c r="F401" s="11" t="n">
        <v>4790</v>
      </c>
      <c r="G401" s="12" t="n">
        <v>0.7</v>
      </c>
      <c r="H401" s="13" t="n">
        <v>4</v>
      </c>
      <c r="I401" s="11" t="n">
        <v>4390</v>
      </c>
      <c r="J401" s="11" t="n">
        <f aca="false">E401-F401</f>
        <v>11200</v>
      </c>
      <c r="K401" s="10" t="str">
        <f aca="false">IF(G401&lt;0.2,"0-19%",IF(G401&lt;0.4,"20-39%",IF(G401&lt;0.6,"40-59%",IF(G401&lt;0.8,"60-79%","80%+"))))</f>
        <v>60-79%</v>
      </c>
      <c r="L401" s="10" t="str">
        <f aca="false">IF(H401="","No rating",IF(H401&lt;3.5,"Below 3.5",IF(H401&lt;4,"3.5-3.9",IF(H401&lt;4.5,"4.0-4.4","4.5+"))))</f>
        <v>4.0-4.4</v>
      </c>
    </row>
    <row r="402" customFormat="false" ht="15" hidden="false" customHeight="false" outlineLevel="0" collapsed="false">
      <c r="A402" s="10" t="s">
        <v>822</v>
      </c>
      <c r="B402" s="10" t="s">
        <v>823</v>
      </c>
      <c r="C402" s="10" t="s">
        <v>48</v>
      </c>
      <c r="D402" s="10" t="s">
        <v>700</v>
      </c>
      <c r="E402" s="11" t="n">
        <v>33999</v>
      </c>
      <c r="F402" s="11" t="n">
        <v>33999</v>
      </c>
      <c r="G402" s="12" t="n">
        <v>0</v>
      </c>
      <c r="H402" s="13" t="n">
        <v>4.3</v>
      </c>
      <c r="I402" s="11" t="n">
        <v>17415</v>
      </c>
      <c r="J402" s="11" t="n">
        <f aca="false">E402-F402</f>
        <v>0</v>
      </c>
      <c r="K402" s="10" t="str">
        <f aca="false">IF(G402&lt;0.2,"0-19%",IF(G402&lt;0.4,"20-39%",IF(G402&lt;0.6,"40-59%",IF(G402&lt;0.8,"60-79%","80%+"))))</f>
        <v>0-19%</v>
      </c>
      <c r="L402" s="10" t="str">
        <f aca="false">IF(H402="","No rating",IF(H402&lt;3.5,"Below 3.5",IF(H402&lt;4,"3.5-3.9",IF(H402&lt;4.5,"4.0-4.4","4.5+"))))</f>
        <v>4.0-4.4</v>
      </c>
    </row>
    <row r="403" customFormat="false" ht="15" hidden="false" customHeight="false" outlineLevel="0" collapsed="false">
      <c r="A403" s="10" t="s">
        <v>824</v>
      </c>
      <c r="B403" s="10" t="s">
        <v>825</v>
      </c>
      <c r="C403" s="10" t="s">
        <v>21</v>
      </c>
      <c r="D403" s="10" t="s">
        <v>22</v>
      </c>
      <c r="E403" s="11" t="n">
        <v>999</v>
      </c>
      <c r="F403" s="11" t="n">
        <v>99</v>
      </c>
      <c r="G403" s="12" t="n">
        <v>0.9</v>
      </c>
      <c r="H403" s="13" t="n">
        <v>4</v>
      </c>
      <c r="I403" s="11" t="n">
        <v>1396</v>
      </c>
      <c r="J403" s="11" t="n">
        <f aca="false">E403-F403</f>
        <v>900</v>
      </c>
      <c r="K403" s="10" t="str">
        <f aca="false">IF(G403&lt;0.2,"0-19%",IF(G403&lt;0.4,"20-39%",IF(G403&lt;0.6,"40-59%",IF(G403&lt;0.8,"60-79%","80%+"))))</f>
        <v>80%+</v>
      </c>
      <c r="L403" s="10" t="str">
        <f aca="false">IF(H403="","No rating",IF(H403&lt;3.5,"Below 3.5",IF(H403&lt;4,"3.5-3.9",IF(H403&lt;4.5,"4.0-4.4","4.5+"))))</f>
        <v>4.0-4.4</v>
      </c>
    </row>
    <row r="404" customFormat="false" ht="15" hidden="false" customHeight="false" outlineLevel="0" collapsed="false">
      <c r="A404" s="10" t="s">
        <v>826</v>
      </c>
      <c r="B404" s="10" t="s">
        <v>827</v>
      </c>
      <c r="C404" s="10" t="s">
        <v>48</v>
      </c>
      <c r="D404" s="10" t="s">
        <v>722</v>
      </c>
      <c r="E404" s="11" t="n">
        <v>1900</v>
      </c>
      <c r="F404" s="11" t="n">
        <v>299</v>
      </c>
      <c r="G404" s="12" t="n">
        <v>0.84</v>
      </c>
      <c r="H404" s="13" t="n">
        <v>3.6</v>
      </c>
      <c r="I404" s="11" t="n">
        <v>18202</v>
      </c>
      <c r="J404" s="11" t="n">
        <f aca="false">E404-F404</f>
        <v>1601</v>
      </c>
      <c r="K404" s="10" t="str">
        <f aca="false">IF(G404&lt;0.2,"0-19%",IF(G404&lt;0.4,"20-39%",IF(G404&lt;0.6,"40-59%",IF(G404&lt;0.8,"60-79%","80%+"))))</f>
        <v>80%+</v>
      </c>
      <c r="L404" s="10" t="str">
        <f aca="false">IF(H404="","No rating",IF(H404&lt;3.5,"Below 3.5",IF(H404&lt;4,"3.5-3.9",IF(H404&lt;4.5,"4.0-4.4","4.5+"))))</f>
        <v>3.5-3.9</v>
      </c>
    </row>
    <row r="405" customFormat="false" ht="15" hidden="false" customHeight="false" outlineLevel="0" collapsed="false">
      <c r="A405" s="10" t="s">
        <v>828</v>
      </c>
      <c r="B405" s="10" t="s">
        <v>829</v>
      </c>
      <c r="C405" s="10" t="s">
        <v>48</v>
      </c>
      <c r="D405" s="10" t="s">
        <v>700</v>
      </c>
      <c r="E405" s="11" t="n">
        <v>14999</v>
      </c>
      <c r="F405" s="11" t="n">
        <v>10999</v>
      </c>
      <c r="G405" s="12" t="n">
        <v>0.27</v>
      </c>
      <c r="H405" s="13" t="n">
        <v>4.1</v>
      </c>
      <c r="I405" s="11" t="n">
        <v>18998</v>
      </c>
      <c r="J405" s="11" t="n">
        <f aca="false">E405-F405</f>
        <v>4000</v>
      </c>
      <c r="K405" s="10" t="str">
        <f aca="false">IF(G405&lt;0.2,"0-19%",IF(G405&lt;0.4,"20-39%",IF(G405&lt;0.6,"40-59%",IF(G405&lt;0.8,"60-79%","80%+"))))</f>
        <v>20-39%</v>
      </c>
      <c r="L405" s="10" t="str">
        <f aca="false">IF(H405="","No rating",IF(H405&lt;3.5,"Below 3.5",IF(H405&lt;4,"3.5-3.9",IF(H405&lt;4.5,"4.0-4.4","4.5+"))))</f>
        <v>4.0-4.4</v>
      </c>
    </row>
    <row r="406" customFormat="false" ht="15" hidden="false" customHeight="false" outlineLevel="0" collapsed="false">
      <c r="A406" s="10" t="s">
        <v>830</v>
      </c>
      <c r="B406" s="10" t="s">
        <v>831</v>
      </c>
      <c r="C406" s="10" t="s">
        <v>48</v>
      </c>
      <c r="D406" s="10" t="s">
        <v>700</v>
      </c>
      <c r="E406" s="11" t="n">
        <v>38999</v>
      </c>
      <c r="F406" s="11" t="n">
        <v>34999</v>
      </c>
      <c r="G406" s="12" t="n">
        <v>0.1</v>
      </c>
      <c r="H406" s="13" t="n">
        <v>4.2</v>
      </c>
      <c r="I406" s="11" t="n">
        <v>11029</v>
      </c>
      <c r="J406" s="11" t="n">
        <f aca="false">E406-F406</f>
        <v>4000</v>
      </c>
      <c r="K406" s="10" t="str">
        <f aca="false">IF(G406&lt;0.2,"0-19%",IF(G406&lt;0.4,"20-39%",IF(G406&lt;0.6,"40-59%",IF(G406&lt;0.8,"60-79%","80%+"))))</f>
        <v>0-19%</v>
      </c>
      <c r="L406" s="10" t="str">
        <f aca="false">IF(H406="","No rating",IF(H406&lt;3.5,"Below 3.5",IF(H406&lt;4,"3.5-3.9",IF(H406&lt;4.5,"4.0-4.4","4.5+"))))</f>
        <v>4.0-4.4</v>
      </c>
    </row>
    <row r="407" customFormat="false" ht="15" hidden="false" customHeight="false" outlineLevel="0" collapsed="false">
      <c r="A407" s="10" t="s">
        <v>832</v>
      </c>
      <c r="B407" s="10" t="s">
        <v>759</v>
      </c>
      <c r="C407" s="10" t="s">
        <v>48</v>
      </c>
      <c r="D407" s="10" t="s">
        <v>700</v>
      </c>
      <c r="E407" s="11" t="n">
        <v>24999</v>
      </c>
      <c r="F407" s="11" t="n">
        <v>16999</v>
      </c>
      <c r="G407" s="12" t="n">
        <v>0.32</v>
      </c>
      <c r="H407" s="13" t="n">
        <v>4.1</v>
      </c>
      <c r="I407" s="11" t="n">
        <v>22318</v>
      </c>
      <c r="J407" s="11" t="n">
        <f aca="false">E407-F407</f>
        <v>8000</v>
      </c>
      <c r="K407" s="10" t="str">
        <f aca="false">IF(G407&lt;0.2,"0-19%",IF(G407&lt;0.4,"20-39%",IF(G407&lt;0.6,"40-59%",IF(G407&lt;0.8,"60-79%","80%+"))))</f>
        <v>20-39%</v>
      </c>
      <c r="L407" s="10" t="str">
        <f aca="false">IF(H407="","No rating",IF(H407&lt;3.5,"Below 3.5",IF(H407&lt;4,"3.5-3.9",IF(H407&lt;4.5,"4.0-4.4","4.5+"))))</f>
        <v>4.0-4.4</v>
      </c>
    </row>
    <row r="408" customFormat="false" ht="15" hidden="false" customHeight="false" outlineLevel="0" collapsed="false">
      <c r="A408" s="10" t="s">
        <v>833</v>
      </c>
      <c r="B408" s="10" t="s">
        <v>834</v>
      </c>
      <c r="C408" s="10" t="s">
        <v>48</v>
      </c>
      <c r="D408" s="10" t="s">
        <v>700</v>
      </c>
      <c r="E408" s="11" t="n">
        <v>499</v>
      </c>
      <c r="F408" s="11" t="n">
        <v>199</v>
      </c>
      <c r="G408" s="12" t="n">
        <v>0.6</v>
      </c>
      <c r="H408" s="13" t="n">
        <v>4.1</v>
      </c>
      <c r="I408" s="11" t="n">
        <v>1786</v>
      </c>
      <c r="J408" s="11" t="n">
        <f aca="false">E408-F408</f>
        <v>300</v>
      </c>
      <c r="K408" s="10" t="str">
        <f aca="false">IF(G408&lt;0.2,"0-19%",IF(G408&lt;0.4,"20-39%",IF(G408&lt;0.6,"40-59%",IF(G408&lt;0.8,"60-79%","80%+"))))</f>
        <v>60-79%</v>
      </c>
      <c r="L408" s="10" t="str">
        <f aca="false">IF(H408="","No rating",IF(H408&lt;3.5,"Below 3.5",IF(H408&lt;4,"3.5-3.9",IF(H408&lt;4.5,"4.0-4.4","4.5+"))))</f>
        <v>4.0-4.4</v>
      </c>
    </row>
    <row r="409" customFormat="false" ht="15" hidden="false" customHeight="false" outlineLevel="0" collapsed="false">
      <c r="A409" s="10" t="s">
        <v>835</v>
      </c>
      <c r="B409" s="10" t="s">
        <v>836</v>
      </c>
      <c r="C409" s="10" t="s">
        <v>48</v>
      </c>
      <c r="D409" s="10" t="s">
        <v>700</v>
      </c>
      <c r="E409" s="11" t="n">
        <v>1599</v>
      </c>
      <c r="F409" s="11" t="n">
        <v>999</v>
      </c>
      <c r="G409" s="12" t="n">
        <v>0.38</v>
      </c>
      <c r="H409" s="13" t="n">
        <v>4</v>
      </c>
      <c r="I409" s="11" t="n">
        <v>7222</v>
      </c>
      <c r="J409" s="11" t="n">
        <f aca="false">E409-F409</f>
        <v>600</v>
      </c>
      <c r="K409" s="10" t="str">
        <f aca="false">IF(G409&lt;0.2,"0-19%",IF(G409&lt;0.4,"20-39%",IF(G409&lt;0.6,"40-59%",IF(G409&lt;0.8,"60-79%","80%+"))))</f>
        <v>20-39%</v>
      </c>
      <c r="L409" s="10" t="str">
        <f aca="false">IF(H409="","No rating",IF(H409&lt;3.5,"Below 3.5",IF(H409&lt;4,"3.5-3.9",IF(H409&lt;4.5,"4.0-4.4","4.5+"))))</f>
        <v>4.0-4.4</v>
      </c>
    </row>
    <row r="410" customFormat="false" ht="15" hidden="false" customHeight="false" outlineLevel="0" collapsed="false">
      <c r="A410" s="10" t="s">
        <v>837</v>
      </c>
      <c r="B410" s="10" t="s">
        <v>838</v>
      </c>
      <c r="C410" s="10" t="s">
        <v>48</v>
      </c>
      <c r="D410" s="10" t="s">
        <v>700</v>
      </c>
      <c r="E410" s="11" t="n">
        <v>1599</v>
      </c>
      <c r="F410" s="11" t="n">
        <v>1299</v>
      </c>
      <c r="G410" s="12" t="n">
        <v>0.19</v>
      </c>
      <c r="H410" s="13" t="n">
        <v>4</v>
      </c>
      <c r="I410" s="11" t="n">
        <v>128311</v>
      </c>
      <c r="J410" s="11" t="n">
        <f aca="false">E410-F410</f>
        <v>300</v>
      </c>
      <c r="K410" s="10" t="str">
        <f aca="false">IF(G410&lt;0.2,"0-19%",IF(G410&lt;0.4,"20-39%",IF(G410&lt;0.6,"40-59%",IF(G410&lt;0.8,"60-79%","80%+"))))</f>
        <v>0-19%</v>
      </c>
      <c r="L410" s="10" t="str">
        <f aca="false">IF(H410="","No rating",IF(H410&lt;3.5,"Below 3.5",IF(H410&lt;4,"3.5-3.9",IF(H410&lt;4.5,"4.0-4.4","4.5+"))))</f>
        <v>4.0-4.4</v>
      </c>
    </row>
    <row r="411" customFormat="false" ht="15" hidden="false" customHeight="false" outlineLevel="0" collapsed="false">
      <c r="A411" s="10" t="s">
        <v>839</v>
      </c>
      <c r="B411" s="10" t="s">
        <v>840</v>
      </c>
      <c r="C411" s="10" t="s">
        <v>48</v>
      </c>
      <c r="D411" s="10" t="s">
        <v>722</v>
      </c>
      <c r="E411" s="11" t="n">
        <v>1800</v>
      </c>
      <c r="F411" s="11" t="n">
        <v>599</v>
      </c>
      <c r="G411" s="12" t="n">
        <v>0.67</v>
      </c>
      <c r="H411" s="13" t="n">
        <v>3.5</v>
      </c>
      <c r="I411" s="11" t="n">
        <v>83996</v>
      </c>
      <c r="J411" s="11" t="n">
        <f aca="false">E411-F411</f>
        <v>1201</v>
      </c>
      <c r="K411" s="10" t="str">
        <f aca="false">IF(G411&lt;0.2,"0-19%",IF(G411&lt;0.4,"20-39%",IF(G411&lt;0.6,"40-59%",IF(G411&lt;0.8,"60-79%","80%+"))))</f>
        <v>60-79%</v>
      </c>
      <c r="L411" s="10" t="str">
        <f aca="false">IF(H411="","No rating",IF(H411&lt;3.5,"Below 3.5",IF(H411&lt;4,"3.5-3.9",IF(H411&lt;4.5,"4.0-4.4","4.5+"))))</f>
        <v>3.5-3.9</v>
      </c>
    </row>
    <row r="412" customFormat="false" ht="15" hidden="false" customHeight="false" outlineLevel="0" collapsed="false">
      <c r="A412" s="10" t="s">
        <v>841</v>
      </c>
      <c r="B412" s="10" t="s">
        <v>842</v>
      </c>
      <c r="C412" s="10" t="s">
        <v>48</v>
      </c>
      <c r="D412" s="10" t="s">
        <v>713</v>
      </c>
      <c r="E412" s="11" t="n">
        <v>1899</v>
      </c>
      <c r="F412" s="11" t="n">
        <v>599</v>
      </c>
      <c r="G412" s="12" t="n">
        <v>0.68</v>
      </c>
      <c r="H412" s="13" t="n">
        <v>4.3</v>
      </c>
      <c r="I412" s="11" t="n">
        <v>140036</v>
      </c>
      <c r="J412" s="11" t="n">
        <f aca="false">E412-F412</f>
        <v>1300</v>
      </c>
      <c r="K412" s="10" t="str">
        <f aca="false">IF(G412&lt;0.2,"0-19%",IF(G412&lt;0.4,"20-39%",IF(G412&lt;0.6,"40-59%",IF(G412&lt;0.8,"60-79%","80%+"))))</f>
        <v>60-79%</v>
      </c>
      <c r="L412" s="10" t="str">
        <f aca="false">IF(H412="","No rating",IF(H412&lt;3.5,"Below 3.5",IF(H412&lt;4,"3.5-3.9",IF(H412&lt;4.5,"4.0-4.4","4.5+"))))</f>
        <v>4.0-4.4</v>
      </c>
    </row>
    <row r="413" customFormat="false" ht="15" hidden="false" customHeight="false" outlineLevel="0" collapsed="false">
      <c r="A413" s="10" t="s">
        <v>843</v>
      </c>
      <c r="B413" s="10" t="s">
        <v>844</v>
      </c>
      <c r="C413" s="10" t="s">
        <v>48</v>
      </c>
      <c r="D413" s="10" t="s">
        <v>700</v>
      </c>
      <c r="E413" s="11" t="n">
        <v>2499</v>
      </c>
      <c r="F413" s="11" t="n">
        <v>1799</v>
      </c>
      <c r="G413" s="12" t="n">
        <v>0.28</v>
      </c>
      <c r="H413" s="13" t="n">
        <v>4.1</v>
      </c>
      <c r="I413" s="11" t="n">
        <v>18678</v>
      </c>
      <c r="J413" s="11" t="n">
        <f aca="false">E413-F413</f>
        <v>700</v>
      </c>
      <c r="K413" s="10" t="str">
        <f aca="false">IF(G413&lt;0.2,"0-19%",IF(G413&lt;0.4,"20-39%",IF(G413&lt;0.6,"40-59%",IF(G413&lt;0.8,"60-79%","80%+"))))</f>
        <v>20-39%</v>
      </c>
      <c r="L413" s="10" t="str">
        <f aca="false">IF(H413="","No rating",IF(H413&lt;3.5,"Below 3.5",IF(H413&lt;4,"3.5-3.9",IF(H413&lt;4.5,"4.0-4.4","4.5+"))))</f>
        <v>4.0-4.4</v>
      </c>
    </row>
    <row r="414" customFormat="false" ht="15" hidden="false" customHeight="false" outlineLevel="0" collapsed="false">
      <c r="A414" s="10" t="s">
        <v>845</v>
      </c>
      <c r="B414" s="10" t="s">
        <v>846</v>
      </c>
      <c r="C414" s="10" t="s">
        <v>48</v>
      </c>
      <c r="D414" s="10" t="s">
        <v>700</v>
      </c>
      <c r="E414" s="11" t="n">
        <v>14999</v>
      </c>
      <c r="F414" s="11" t="n">
        <v>10999</v>
      </c>
      <c r="G414" s="12" t="n">
        <v>0.27</v>
      </c>
      <c r="H414" s="13" t="n">
        <v>4.1</v>
      </c>
      <c r="I414" s="11" t="n">
        <v>18998</v>
      </c>
      <c r="J414" s="11" t="n">
        <f aca="false">E414-F414</f>
        <v>4000</v>
      </c>
      <c r="K414" s="10" t="str">
        <f aca="false">IF(G414&lt;0.2,"0-19%",IF(G414&lt;0.4,"20-39%",IF(G414&lt;0.6,"40-59%",IF(G414&lt;0.8,"60-79%","80%+"))))</f>
        <v>20-39%</v>
      </c>
      <c r="L414" s="10" t="str">
        <f aca="false">IF(H414="","No rating",IF(H414&lt;3.5,"Below 3.5",IF(H414&lt;4,"3.5-3.9",IF(H414&lt;4.5,"4.0-4.4","4.5+"))))</f>
        <v>4.0-4.4</v>
      </c>
    </row>
    <row r="415" customFormat="false" ht="15" hidden="false" customHeight="false" outlineLevel="0" collapsed="false">
      <c r="A415" s="10" t="s">
        <v>847</v>
      </c>
      <c r="B415" s="10" t="s">
        <v>848</v>
      </c>
      <c r="C415" s="10" t="s">
        <v>48</v>
      </c>
      <c r="D415" s="10" t="s">
        <v>693</v>
      </c>
      <c r="E415" s="11" t="n">
        <v>7990</v>
      </c>
      <c r="F415" s="11" t="n">
        <v>2999</v>
      </c>
      <c r="G415" s="12" t="n">
        <v>0.62</v>
      </c>
      <c r="H415" s="13" t="n">
        <v>4.1</v>
      </c>
      <c r="I415" s="11" t="n">
        <v>48449</v>
      </c>
      <c r="J415" s="11" t="n">
        <f aca="false">E415-F415</f>
        <v>4991</v>
      </c>
      <c r="K415" s="10" t="str">
        <f aca="false">IF(G415&lt;0.2,"0-19%",IF(G415&lt;0.4,"20-39%",IF(G415&lt;0.6,"40-59%",IF(G415&lt;0.8,"60-79%","80%+"))))</f>
        <v>60-79%</v>
      </c>
      <c r="L415" s="10" t="str">
        <f aca="false">IF(H415="","No rating",IF(H415&lt;3.5,"Below 3.5",IF(H415&lt;4,"3.5-3.9",IF(H415&lt;4.5,"4.0-4.4","4.5+"))))</f>
        <v>4.0-4.4</v>
      </c>
    </row>
    <row r="416" customFormat="false" ht="15" hidden="false" customHeight="false" outlineLevel="0" collapsed="false">
      <c r="A416" s="10" t="s">
        <v>849</v>
      </c>
      <c r="B416" s="10" t="s">
        <v>850</v>
      </c>
      <c r="C416" s="10" t="s">
        <v>48</v>
      </c>
      <c r="D416" s="10" t="s">
        <v>693</v>
      </c>
      <c r="E416" s="11" t="n">
        <v>7990</v>
      </c>
      <c r="F416" s="11" t="n">
        <v>1999</v>
      </c>
      <c r="G416" s="12" t="n">
        <v>0.75</v>
      </c>
      <c r="H416" s="13" t="n">
        <v>3.8</v>
      </c>
      <c r="I416" s="11" t="n">
        <v>17831</v>
      </c>
      <c r="J416" s="11" t="n">
        <f aca="false">E416-F416</f>
        <v>5991</v>
      </c>
      <c r="K416" s="10" t="str">
        <f aca="false">IF(G416&lt;0.2,"0-19%",IF(G416&lt;0.4,"20-39%",IF(G416&lt;0.6,"40-59%",IF(G416&lt;0.8,"60-79%","80%+"))))</f>
        <v>60-79%</v>
      </c>
      <c r="L416" s="10" t="str">
        <f aca="false">IF(H416="","No rating",IF(H416&lt;3.5,"Below 3.5",IF(H416&lt;4,"3.5-3.9",IF(H416&lt;4.5,"4.0-4.4","4.5+"))))</f>
        <v>3.5-3.9</v>
      </c>
    </row>
    <row r="417" customFormat="false" ht="15" hidden="false" customHeight="false" outlineLevel="0" collapsed="false">
      <c r="A417" s="10" t="s">
        <v>851</v>
      </c>
      <c r="B417" s="10" t="s">
        <v>852</v>
      </c>
      <c r="C417" s="10" t="s">
        <v>48</v>
      </c>
      <c r="D417" s="10" t="s">
        <v>700</v>
      </c>
      <c r="E417" s="11" t="n">
        <v>999</v>
      </c>
      <c r="F417" s="11" t="n">
        <v>649</v>
      </c>
      <c r="G417" s="12" t="n">
        <v>0.35</v>
      </c>
      <c r="H417" s="13" t="n">
        <v>4.2</v>
      </c>
      <c r="I417" s="11" t="n">
        <v>1315</v>
      </c>
      <c r="J417" s="11" t="n">
        <f aca="false">E417-F417</f>
        <v>350</v>
      </c>
      <c r="K417" s="10" t="str">
        <f aca="false">IF(G417&lt;0.2,"0-19%",IF(G417&lt;0.4,"20-39%",IF(G417&lt;0.6,"40-59%",IF(G417&lt;0.8,"60-79%","80%+"))))</f>
        <v>20-39%</v>
      </c>
      <c r="L417" s="10" t="str">
        <f aca="false">IF(H417="","No rating",IF(H417&lt;3.5,"Below 3.5",IF(H417&lt;4,"3.5-3.9",IF(H417&lt;4.5,"4.0-4.4","4.5+"))))</f>
        <v>4.0-4.4</v>
      </c>
    </row>
    <row r="418" customFormat="false" ht="15" hidden="false" customHeight="false" outlineLevel="0" collapsed="false">
      <c r="A418" s="10" t="s">
        <v>853</v>
      </c>
      <c r="B418" s="10" t="s">
        <v>811</v>
      </c>
      <c r="C418" s="10" t="s">
        <v>48</v>
      </c>
      <c r="D418" s="10" t="s">
        <v>700</v>
      </c>
      <c r="E418" s="11" t="n">
        <v>19499</v>
      </c>
      <c r="F418" s="11" t="n">
        <v>13999</v>
      </c>
      <c r="G418" s="12" t="n">
        <v>0.28</v>
      </c>
      <c r="H418" s="13" t="n">
        <v>4.1</v>
      </c>
      <c r="I418" s="11" t="n">
        <v>18998</v>
      </c>
      <c r="J418" s="11" t="n">
        <f aca="false">E418-F418</f>
        <v>5500</v>
      </c>
      <c r="K418" s="10" t="str">
        <f aca="false">IF(G418&lt;0.2,"0-19%",IF(G418&lt;0.4,"20-39%",IF(G418&lt;0.6,"40-59%",IF(G418&lt;0.8,"60-79%","80%+"))))</f>
        <v>20-39%</v>
      </c>
      <c r="L418" s="10" t="str">
        <f aca="false">IF(H418="","No rating",IF(H418&lt;3.5,"Below 3.5",IF(H418&lt;4,"3.5-3.9",IF(H418&lt;4.5,"4.0-4.4","4.5+"))))</f>
        <v>4.0-4.4</v>
      </c>
    </row>
    <row r="419" customFormat="false" ht="15" hidden="false" customHeight="false" outlineLevel="0" collapsed="false">
      <c r="A419" s="10" t="s">
        <v>854</v>
      </c>
      <c r="B419" s="10" t="s">
        <v>855</v>
      </c>
      <c r="C419" s="10" t="s">
        <v>48</v>
      </c>
      <c r="D419" s="10" t="s">
        <v>700</v>
      </c>
      <c r="E419" s="11" t="n">
        <v>299</v>
      </c>
      <c r="F419" s="11" t="n">
        <v>119</v>
      </c>
      <c r="G419" s="12" t="n">
        <v>0.6</v>
      </c>
      <c r="H419" s="13" t="n">
        <v>4.1</v>
      </c>
      <c r="I419" s="11" t="n">
        <v>5999</v>
      </c>
      <c r="J419" s="11" t="n">
        <f aca="false">E419-F419</f>
        <v>180</v>
      </c>
      <c r="K419" s="10" t="str">
        <f aca="false">IF(G419&lt;0.2,"0-19%",IF(G419&lt;0.4,"20-39%",IF(G419&lt;0.6,"40-59%",IF(G419&lt;0.8,"60-79%","80%+"))))</f>
        <v>60-79%</v>
      </c>
      <c r="L419" s="10" t="str">
        <f aca="false">IF(H419="","No rating",IF(H419&lt;3.5,"Below 3.5",IF(H419&lt;4,"3.5-3.9",IF(H419&lt;4.5,"4.0-4.4","4.5+"))))</f>
        <v>4.0-4.4</v>
      </c>
    </row>
    <row r="420" customFormat="false" ht="15" hidden="false" customHeight="false" outlineLevel="0" collapsed="false">
      <c r="A420" s="10" t="s">
        <v>856</v>
      </c>
      <c r="B420" s="10" t="s">
        <v>857</v>
      </c>
      <c r="C420" s="10" t="s">
        <v>48</v>
      </c>
      <c r="D420" s="10" t="s">
        <v>700</v>
      </c>
      <c r="E420" s="11" t="n">
        <v>17999</v>
      </c>
      <c r="F420" s="11" t="n">
        <v>12999</v>
      </c>
      <c r="G420" s="12" t="n">
        <v>0.28</v>
      </c>
      <c r="H420" s="13" t="n">
        <v>4.1</v>
      </c>
      <c r="I420" s="11" t="n">
        <v>50772</v>
      </c>
      <c r="J420" s="11" t="n">
        <f aca="false">E420-F420</f>
        <v>5000</v>
      </c>
      <c r="K420" s="10" t="str">
        <f aca="false">IF(G420&lt;0.2,"0-19%",IF(G420&lt;0.4,"20-39%",IF(G420&lt;0.6,"40-59%",IF(G420&lt;0.8,"60-79%","80%+"))))</f>
        <v>20-39%</v>
      </c>
      <c r="L420" s="10" t="str">
        <f aca="false">IF(H420="","No rating",IF(H420&lt;3.5,"Below 3.5",IF(H420&lt;4,"3.5-3.9",IF(H420&lt;4.5,"4.0-4.4","4.5+"))))</f>
        <v>4.0-4.4</v>
      </c>
    </row>
    <row r="421" customFormat="false" ht="15" hidden="false" customHeight="false" outlineLevel="0" collapsed="false">
      <c r="A421" s="10" t="s">
        <v>858</v>
      </c>
      <c r="B421" s="10" t="s">
        <v>859</v>
      </c>
      <c r="C421" s="10" t="s">
        <v>48</v>
      </c>
      <c r="D421" s="10" t="s">
        <v>700</v>
      </c>
      <c r="E421" s="11" t="n">
        <v>26999</v>
      </c>
      <c r="F421" s="11" t="n">
        <v>20999</v>
      </c>
      <c r="G421" s="12" t="n">
        <v>0.22</v>
      </c>
      <c r="H421" s="13" t="n">
        <v>3.9</v>
      </c>
      <c r="I421" s="11" t="n">
        <v>25824</v>
      </c>
      <c r="J421" s="11" t="n">
        <f aca="false">E421-F421</f>
        <v>6000</v>
      </c>
      <c r="K421" s="10" t="str">
        <f aca="false">IF(G421&lt;0.2,"0-19%",IF(G421&lt;0.4,"20-39%",IF(G421&lt;0.6,"40-59%",IF(G421&lt;0.8,"60-79%","80%+"))))</f>
        <v>20-39%</v>
      </c>
      <c r="L421" s="10" t="str">
        <f aca="false">IF(H421="","No rating",IF(H421&lt;3.5,"Below 3.5",IF(H421&lt;4,"3.5-3.9",IF(H421&lt;4.5,"4.0-4.4","4.5+"))))</f>
        <v>3.5-3.9</v>
      </c>
    </row>
    <row r="422" customFormat="false" ht="15" hidden="false" customHeight="false" outlineLevel="0" collapsed="false">
      <c r="A422" s="10" t="s">
        <v>860</v>
      </c>
      <c r="B422" s="10" t="s">
        <v>861</v>
      </c>
      <c r="C422" s="10" t="s">
        <v>48</v>
      </c>
      <c r="D422" s="10" t="s">
        <v>700</v>
      </c>
      <c r="E422" s="11" t="n">
        <v>649</v>
      </c>
      <c r="F422" s="11" t="n">
        <v>249</v>
      </c>
      <c r="G422" s="12" t="n">
        <v>0.62</v>
      </c>
      <c r="H422" s="13" t="n">
        <v>4</v>
      </c>
      <c r="I422" s="11" t="n">
        <v>14404</v>
      </c>
      <c r="J422" s="11" t="n">
        <f aca="false">E422-F422</f>
        <v>400</v>
      </c>
      <c r="K422" s="10" t="str">
        <f aca="false">IF(G422&lt;0.2,"0-19%",IF(G422&lt;0.4,"20-39%",IF(G422&lt;0.6,"40-59%",IF(G422&lt;0.8,"60-79%","80%+"))))</f>
        <v>60-79%</v>
      </c>
      <c r="L422" s="10" t="str">
        <f aca="false">IF(H422="","No rating",IF(H422&lt;3.5,"Below 3.5",IF(H422&lt;4,"3.5-3.9",IF(H422&lt;4.5,"4.0-4.4","4.5+"))))</f>
        <v>4.0-4.4</v>
      </c>
    </row>
    <row r="423" customFormat="false" ht="15" hidden="false" customHeight="false" outlineLevel="0" collapsed="false">
      <c r="A423" s="10" t="s">
        <v>862</v>
      </c>
      <c r="B423" s="10" t="s">
        <v>863</v>
      </c>
      <c r="C423" s="10" t="s">
        <v>48</v>
      </c>
      <c r="D423" s="10" t="s">
        <v>700</v>
      </c>
      <c r="E423" s="11" t="n">
        <v>171</v>
      </c>
      <c r="F423" s="11" t="n">
        <v>99</v>
      </c>
      <c r="G423" s="12" t="n">
        <v>0.42</v>
      </c>
      <c r="H423" s="13" t="n">
        <v>4.5</v>
      </c>
      <c r="I423" s="11" t="n">
        <v>11339</v>
      </c>
      <c r="J423" s="11" t="n">
        <f aca="false">E423-F423</f>
        <v>72</v>
      </c>
      <c r="K423" s="10" t="str">
        <f aca="false">IF(G423&lt;0.2,"0-19%",IF(G423&lt;0.4,"20-39%",IF(G423&lt;0.6,"40-59%",IF(G423&lt;0.8,"60-79%","80%+"))))</f>
        <v>40-59%</v>
      </c>
      <c r="L423" s="10" t="str">
        <f aca="false">IF(H423="","No rating",IF(H423&lt;3.5,"Below 3.5",IF(H423&lt;4,"3.5-3.9",IF(H423&lt;4.5,"4.0-4.4","4.5+"))))</f>
        <v>4.5+</v>
      </c>
    </row>
    <row r="424" customFormat="false" ht="15" hidden="false" customHeight="false" outlineLevel="0" collapsed="false">
      <c r="A424" s="10" t="s">
        <v>864</v>
      </c>
      <c r="B424" s="10" t="s">
        <v>865</v>
      </c>
      <c r="C424" s="10" t="s">
        <v>48</v>
      </c>
      <c r="D424" s="10" t="s">
        <v>700</v>
      </c>
      <c r="E424" s="11" t="n">
        <v>1999</v>
      </c>
      <c r="F424" s="11" t="n">
        <v>489</v>
      </c>
      <c r="G424" s="12" t="n">
        <v>0.76</v>
      </c>
      <c r="H424" s="13" t="n">
        <v>4</v>
      </c>
      <c r="I424" s="11" t="n">
        <v>3626</v>
      </c>
      <c r="J424" s="11" t="n">
        <f aca="false">E424-F424</f>
        <v>1510</v>
      </c>
      <c r="K424" s="10" t="str">
        <f aca="false">IF(G424&lt;0.2,"0-19%",IF(G424&lt;0.4,"20-39%",IF(G424&lt;0.6,"40-59%",IF(G424&lt;0.8,"60-79%","80%+"))))</f>
        <v>60-79%</v>
      </c>
      <c r="L424" s="10" t="str">
        <f aca="false">IF(H424="","No rating",IF(H424&lt;3.5,"Below 3.5",IF(H424&lt;4,"3.5-3.9",IF(H424&lt;4.5,"4.0-4.4","4.5+"))))</f>
        <v>4.0-4.4</v>
      </c>
    </row>
    <row r="425" customFormat="false" ht="15" hidden="false" customHeight="false" outlineLevel="0" collapsed="false">
      <c r="A425" s="10" t="s">
        <v>866</v>
      </c>
      <c r="B425" s="10" t="s">
        <v>867</v>
      </c>
      <c r="C425" s="10" t="s">
        <v>48</v>
      </c>
      <c r="D425" s="10" t="s">
        <v>713</v>
      </c>
      <c r="E425" s="11" t="n">
        <v>1600</v>
      </c>
      <c r="F425" s="11" t="n">
        <v>369</v>
      </c>
      <c r="G425" s="12" t="n">
        <v>0.77</v>
      </c>
      <c r="H425" s="13" t="n">
        <v>4</v>
      </c>
      <c r="I425" s="11" t="n">
        <v>32625</v>
      </c>
      <c r="J425" s="11" t="n">
        <f aca="false">E425-F425</f>
        <v>1231</v>
      </c>
      <c r="K425" s="10" t="str">
        <f aca="false">IF(G425&lt;0.2,"0-19%",IF(G425&lt;0.4,"20-39%",IF(G425&lt;0.6,"40-59%",IF(G425&lt;0.8,"60-79%","80%+"))))</f>
        <v>60-79%</v>
      </c>
      <c r="L425" s="10" t="str">
        <f aca="false">IF(H425="","No rating",IF(H425&lt;3.5,"Below 3.5",IF(H425&lt;4,"3.5-3.9",IF(H425&lt;4.5,"4.0-4.4","4.5+"))))</f>
        <v>4.0-4.4</v>
      </c>
    </row>
    <row r="426" customFormat="false" ht="15" hidden="false" customHeight="false" outlineLevel="0" collapsed="false">
      <c r="A426" s="10" t="s">
        <v>868</v>
      </c>
      <c r="B426" s="10" t="s">
        <v>869</v>
      </c>
      <c r="C426" s="10" t="s">
        <v>48</v>
      </c>
      <c r="D426" s="10" t="s">
        <v>700</v>
      </c>
      <c r="E426" s="11" t="n">
        <v>20999</v>
      </c>
      <c r="F426" s="11" t="n">
        <v>15499</v>
      </c>
      <c r="G426" s="12" t="n">
        <v>0.26</v>
      </c>
      <c r="H426" s="13" t="n">
        <v>4.1</v>
      </c>
      <c r="I426" s="11" t="n">
        <v>19252</v>
      </c>
      <c r="J426" s="11" t="n">
        <f aca="false">E426-F426</f>
        <v>5500</v>
      </c>
      <c r="K426" s="10" t="str">
        <f aca="false">IF(G426&lt;0.2,"0-19%",IF(G426&lt;0.4,"20-39%",IF(G426&lt;0.6,"40-59%",IF(G426&lt;0.8,"60-79%","80%+"))))</f>
        <v>20-39%</v>
      </c>
      <c r="L426" s="10" t="str">
        <f aca="false">IF(H426="","No rating",IF(H426&lt;3.5,"Below 3.5",IF(H426&lt;4,"3.5-3.9",IF(H426&lt;4.5,"4.0-4.4","4.5+"))))</f>
        <v>4.0-4.4</v>
      </c>
    </row>
    <row r="427" customFormat="false" ht="15" hidden="false" customHeight="false" outlineLevel="0" collapsed="false">
      <c r="A427" s="10" t="s">
        <v>870</v>
      </c>
      <c r="B427" s="10" t="s">
        <v>871</v>
      </c>
      <c r="C427" s="10" t="s">
        <v>48</v>
      </c>
      <c r="D427" s="10" t="s">
        <v>700</v>
      </c>
      <c r="E427" s="11" t="n">
        <v>18999</v>
      </c>
      <c r="F427" s="11" t="n">
        <v>15499</v>
      </c>
      <c r="G427" s="12" t="n">
        <v>0.18</v>
      </c>
      <c r="H427" s="13" t="n">
        <v>4.1</v>
      </c>
      <c r="I427" s="11" t="n">
        <v>19252</v>
      </c>
      <c r="J427" s="11" t="n">
        <f aca="false">E427-F427</f>
        <v>3500</v>
      </c>
      <c r="K427" s="10" t="str">
        <f aca="false">IF(G427&lt;0.2,"0-19%",IF(G427&lt;0.4,"20-39%",IF(G427&lt;0.6,"40-59%",IF(G427&lt;0.8,"60-79%","80%+"))))</f>
        <v>0-19%</v>
      </c>
      <c r="L427" s="10" t="str">
        <f aca="false">IF(H427="","No rating",IF(H427&lt;3.5,"Below 3.5",IF(H427&lt;4,"3.5-3.9",IF(H427&lt;4.5,"4.0-4.4","4.5+"))))</f>
        <v>4.0-4.4</v>
      </c>
    </row>
    <row r="428" customFormat="false" ht="15" hidden="false" customHeight="false" outlineLevel="0" collapsed="false">
      <c r="A428" s="10" t="s">
        <v>872</v>
      </c>
      <c r="B428" s="10" t="s">
        <v>873</v>
      </c>
      <c r="C428" s="10" t="s">
        <v>48</v>
      </c>
      <c r="D428" s="10" t="s">
        <v>700</v>
      </c>
      <c r="E428" s="11" t="n">
        <v>28999</v>
      </c>
      <c r="F428" s="11" t="n">
        <v>22999</v>
      </c>
      <c r="G428" s="12" t="n">
        <v>0.21</v>
      </c>
      <c r="H428" s="13" t="n">
        <v>3.9</v>
      </c>
      <c r="I428" s="11" t="n">
        <v>25824</v>
      </c>
      <c r="J428" s="11" t="n">
        <f aca="false">E428-F428</f>
        <v>6000</v>
      </c>
      <c r="K428" s="10" t="str">
        <f aca="false">IF(G428&lt;0.2,"0-19%",IF(G428&lt;0.4,"20-39%",IF(G428&lt;0.6,"40-59%",IF(G428&lt;0.8,"60-79%","80%+"))))</f>
        <v>20-39%</v>
      </c>
      <c r="L428" s="10" t="str">
        <f aca="false">IF(H428="","No rating",IF(H428&lt;3.5,"Below 3.5",IF(H428&lt;4,"3.5-3.9",IF(H428&lt;4.5,"4.0-4.4","4.5+"))))</f>
        <v>3.5-3.9</v>
      </c>
    </row>
    <row r="429" customFormat="false" ht="15" hidden="false" customHeight="false" outlineLevel="0" collapsed="false">
      <c r="A429" s="10" t="s">
        <v>874</v>
      </c>
      <c r="B429" s="10" t="s">
        <v>875</v>
      </c>
      <c r="C429" s="10" t="s">
        <v>48</v>
      </c>
      <c r="D429" s="10" t="s">
        <v>722</v>
      </c>
      <c r="E429" s="11" t="n">
        <v>1490</v>
      </c>
      <c r="F429" s="11" t="n">
        <v>599</v>
      </c>
      <c r="G429" s="12" t="n">
        <v>0.6</v>
      </c>
      <c r="H429" s="13" t="n">
        <v>4.1</v>
      </c>
      <c r="I429" s="11" t="n">
        <v>161679</v>
      </c>
      <c r="J429" s="11" t="n">
        <f aca="false">E429-F429</f>
        <v>891</v>
      </c>
      <c r="K429" s="10" t="str">
        <f aca="false">IF(G429&lt;0.2,"0-19%",IF(G429&lt;0.4,"20-39%",IF(G429&lt;0.6,"40-59%",IF(G429&lt;0.8,"60-79%","80%+"))))</f>
        <v>60-79%</v>
      </c>
      <c r="L429" s="10" t="str">
        <f aca="false">IF(H429="","No rating",IF(H429&lt;3.5,"Below 3.5",IF(H429&lt;4,"3.5-3.9",IF(H429&lt;4.5,"4.0-4.4","4.5+"))))</f>
        <v>4.0-4.4</v>
      </c>
    </row>
    <row r="430" customFormat="false" ht="15" hidden="false" customHeight="false" outlineLevel="0" collapsed="false">
      <c r="A430" s="10" t="s">
        <v>876</v>
      </c>
      <c r="B430" s="10" t="s">
        <v>877</v>
      </c>
      <c r="C430" s="10" t="s">
        <v>48</v>
      </c>
      <c r="D430" s="10" t="s">
        <v>700</v>
      </c>
      <c r="E430" s="11" t="n">
        <v>699</v>
      </c>
      <c r="F430" s="11" t="n">
        <v>134</v>
      </c>
      <c r="G430" s="12" t="n">
        <v>0.81</v>
      </c>
      <c r="H430" s="13" t="n">
        <v>4.1</v>
      </c>
      <c r="I430" s="11" t="n">
        <v>16685</v>
      </c>
      <c r="J430" s="11" t="n">
        <f aca="false">E430-F430</f>
        <v>565</v>
      </c>
      <c r="K430" s="10" t="str">
        <f aca="false">IF(G430&lt;0.2,"0-19%",IF(G430&lt;0.4,"20-39%",IF(G430&lt;0.6,"40-59%",IF(G430&lt;0.8,"60-79%","80%+"))))</f>
        <v>80%+</v>
      </c>
      <c r="L430" s="10" t="str">
        <f aca="false">IF(H430="","No rating",IF(H430&lt;3.5,"Below 3.5",IF(H430&lt;4,"3.5-3.9",IF(H430&lt;4.5,"4.0-4.4","4.5+"))))</f>
        <v>4.0-4.4</v>
      </c>
    </row>
    <row r="431" customFormat="false" ht="15" hidden="false" customHeight="false" outlineLevel="0" collapsed="false">
      <c r="A431" s="10" t="s">
        <v>878</v>
      </c>
      <c r="B431" s="10" t="s">
        <v>879</v>
      </c>
      <c r="C431" s="10" t="s">
        <v>48</v>
      </c>
      <c r="D431" s="10" t="s">
        <v>700</v>
      </c>
      <c r="E431" s="11" t="n">
        <v>7999</v>
      </c>
      <c r="F431" s="11" t="n">
        <v>7499</v>
      </c>
      <c r="G431" s="12" t="n">
        <v>0.06</v>
      </c>
      <c r="H431" s="13" t="n">
        <v>4</v>
      </c>
      <c r="I431" s="11" t="n">
        <v>30907</v>
      </c>
      <c r="J431" s="11" t="n">
        <f aca="false">E431-F431</f>
        <v>500</v>
      </c>
      <c r="K431" s="10" t="str">
        <f aca="false">IF(G431&lt;0.2,"0-19%",IF(G431&lt;0.4,"20-39%",IF(G431&lt;0.6,"40-59%",IF(G431&lt;0.8,"60-79%","80%+"))))</f>
        <v>0-19%</v>
      </c>
      <c r="L431" s="10" t="str">
        <f aca="false">IF(H431="","No rating",IF(H431&lt;3.5,"Below 3.5",IF(H431&lt;4,"3.5-3.9",IF(H431&lt;4.5,"4.0-4.4","4.5+"))))</f>
        <v>4.0-4.4</v>
      </c>
    </row>
    <row r="432" customFormat="false" ht="15" hidden="false" customHeight="false" outlineLevel="0" collapsed="false">
      <c r="A432" s="10" t="s">
        <v>880</v>
      </c>
      <c r="B432" s="10" t="s">
        <v>881</v>
      </c>
      <c r="C432" s="10" t="s">
        <v>48</v>
      </c>
      <c r="D432" s="10" t="s">
        <v>700</v>
      </c>
      <c r="E432" s="11" t="n">
        <v>2199</v>
      </c>
      <c r="F432" s="11" t="n">
        <v>1149</v>
      </c>
      <c r="G432" s="12" t="n">
        <v>0.48</v>
      </c>
      <c r="H432" s="13" t="n">
        <v>4.3</v>
      </c>
      <c r="I432" s="11" t="n">
        <v>178912</v>
      </c>
      <c r="J432" s="11" t="n">
        <f aca="false">E432-F432</f>
        <v>1050</v>
      </c>
      <c r="K432" s="10" t="str">
        <f aca="false">IF(G432&lt;0.2,"0-19%",IF(G432&lt;0.4,"20-39%",IF(G432&lt;0.6,"40-59%",IF(G432&lt;0.8,"60-79%","80%+"))))</f>
        <v>40-59%</v>
      </c>
      <c r="L432" s="10" t="str">
        <f aca="false">IF(H432="","No rating",IF(H432&lt;3.5,"Below 3.5",IF(H432&lt;4,"3.5-3.9",IF(H432&lt;4.5,"4.0-4.4","4.5+"))))</f>
        <v>4.0-4.4</v>
      </c>
    </row>
    <row r="433" customFormat="false" ht="15" hidden="false" customHeight="false" outlineLevel="0" collapsed="false">
      <c r="A433" s="10" t="s">
        <v>882</v>
      </c>
      <c r="B433" s="10" t="s">
        <v>883</v>
      </c>
      <c r="C433" s="10" t="s">
        <v>48</v>
      </c>
      <c r="D433" s="10" t="s">
        <v>700</v>
      </c>
      <c r="E433" s="11" t="n">
        <v>1699</v>
      </c>
      <c r="F433" s="11" t="n">
        <v>1324</v>
      </c>
      <c r="G433" s="12" t="n">
        <v>0.22</v>
      </c>
      <c r="H433" s="13" t="n">
        <v>4</v>
      </c>
      <c r="I433" s="11" t="n">
        <v>128311</v>
      </c>
      <c r="J433" s="11" t="n">
        <f aca="false">E433-F433</f>
        <v>375</v>
      </c>
      <c r="K433" s="10" t="str">
        <f aca="false">IF(G433&lt;0.2,"0-19%",IF(G433&lt;0.4,"20-39%",IF(G433&lt;0.6,"40-59%",IF(G433&lt;0.8,"60-79%","80%+"))))</f>
        <v>20-39%</v>
      </c>
      <c r="L433" s="10" t="str">
        <f aca="false">IF(H433="","No rating",IF(H433&lt;3.5,"Below 3.5",IF(H433&lt;4,"3.5-3.9",IF(H433&lt;4.5,"4.0-4.4","4.5+"))))</f>
        <v>4.0-4.4</v>
      </c>
    </row>
    <row r="434" customFormat="false" ht="15" hidden="false" customHeight="false" outlineLevel="0" collapsed="false">
      <c r="A434" s="10" t="s">
        <v>884</v>
      </c>
      <c r="B434" s="10" t="s">
        <v>885</v>
      </c>
      <c r="C434" s="10" t="s">
        <v>48</v>
      </c>
      <c r="D434" s="10" t="s">
        <v>700</v>
      </c>
      <c r="E434" s="11" t="n">
        <v>19999</v>
      </c>
      <c r="F434" s="11" t="n">
        <v>13999</v>
      </c>
      <c r="G434" s="12" t="n">
        <v>0.3</v>
      </c>
      <c r="H434" s="13" t="n">
        <v>4.1</v>
      </c>
      <c r="I434" s="11" t="n">
        <v>19252</v>
      </c>
      <c r="J434" s="11" t="n">
        <f aca="false">E434-F434</f>
        <v>6000</v>
      </c>
      <c r="K434" s="10" t="str">
        <f aca="false">IF(G434&lt;0.2,"0-19%",IF(G434&lt;0.4,"20-39%",IF(G434&lt;0.6,"40-59%",IF(G434&lt;0.8,"60-79%","80%+"))))</f>
        <v>20-39%</v>
      </c>
      <c r="L434" s="10" t="str">
        <f aca="false">IF(H434="","No rating",IF(H434&lt;3.5,"Below 3.5",IF(H434&lt;4,"3.5-3.9",IF(H434&lt;4.5,"4.0-4.4","4.5+"))))</f>
        <v>4.0-4.4</v>
      </c>
    </row>
    <row r="435" customFormat="false" ht="15" hidden="false" customHeight="false" outlineLevel="0" collapsed="false">
      <c r="A435" s="10" t="s">
        <v>886</v>
      </c>
      <c r="B435" s="10" t="s">
        <v>887</v>
      </c>
      <c r="C435" s="10" t="s">
        <v>48</v>
      </c>
      <c r="D435" s="10" t="s">
        <v>700</v>
      </c>
      <c r="E435" s="11" t="n">
        <v>1599</v>
      </c>
      <c r="F435" s="11" t="n">
        <v>999</v>
      </c>
      <c r="G435" s="12" t="n">
        <v>0.38</v>
      </c>
      <c r="H435" s="13" t="n">
        <v>4</v>
      </c>
      <c r="I435" s="11" t="n">
        <v>7222</v>
      </c>
      <c r="J435" s="11" t="n">
        <f aca="false">E435-F435</f>
        <v>600</v>
      </c>
      <c r="K435" s="10" t="str">
        <f aca="false">IF(G435&lt;0.2,"0-19%",IF(G435&lt;0.4,"20-39%",IF(G435&lt;0.6,"40-59%",IF(G435&lt;0.8,"60-79%","80%+"))))</f>
        <v>20-39%</v>
      </c>
      <c r="L435" s="10" t="str">
        <f aca="false">IF(H435="","No rating",IF(H435&lt;3.5,"Below 3.5",IF(H435&lt;4,"3.5-3.9",IF(H435&lt;4.5,"4.0-4.4","4.5+"))))</f>
        <v>4.0-4.4</v>
      </c>
    </row>
    <row r="436" customFormat="false" ht="15" hidden="false" customHeight="false" outlineLevel="0" collapsed="false">
      <c r="A436" s="10" t="s">
        <v>888</v>
      </c>
      <c r="B436" s="10" t="s">
        <v>889</v>
      </c>
      <c r="C436" s="10" t="s">
        <v>48</v>
      </c>
      <c r="D436" s="10" t="s">
        <v>700</v>
      </c>
      <c r="E436" s="11" t="n">
        <v>17999</v>
      </c>
      <c r="F436" s="11" t="n">
        <v>12999</v>
      </c>
      <c r="G436" s="12" t="n">
        <v>0.28</v>
      </c>
      <c r="H436" s="13" t="n">
        <v>4.1</v>
      </c>
      <c r="I436" s="11" t="n">
        <v>18998</v>
      </c>
      <c r="J436" s="11" t="n">
        <f aca="false">E436-F436</f>
        <v>5000</v>
      </c>
      <c r="K436" s="10" t="str">
        <f aca="false">IF(G436&lt;0.2,"0-19%",IF(G436&lt;0.4,"20-39%",IF(G436&lt;0.6,"40-59%",IF(G436&lt;0.8,"60-79%","80%+"))))</f>
        <v>20-39%</v>
      </c>
      <c r="L436" s="10" t="str">
        <f aca="false">IF(H436="","No rating",IF(H436&lt;3.5,"Below 3.5",IF(H436&lt;4,"3.5-3.9",IF(H436&lt;4.5,"4.0-4.4","4.5+"))))</f>
        <v>4.0-4.4</v>
      </c>
    </row>
    <row r="437" customFormat="false" ht="15" hidden="false" customHeight="false" outlineLevel="0" collapsed="false">
      <c r="A437" s="10" t="s">
        <v>890</v>
      </c>
      <c r="B437" s="10" t="s">
        <v>891</v>
      </c>
      <c r="C437" s="10" t="s">
        <v>48</v>
      </c>
      <c r="D437" s="10" t="s">
        <v>700</v>
      </c>
      <c r="E437" s="11" t="n">
        <v>20990</v>
      </c>
      <c r="F437" s="11" t="n">
        <v>15490</v>
      </c>
      <c r="G437" s="12" t="n">
        <v>0.26</v>
      </c>
      <c r="H437" s="13" t="n">
        <v>4.2</v>
      </c>
      <c r="I437" s="11" t="n">
        <v>32916</v>
      </c>
      <c r="J437" s="11" t="n">
        <f aca="false">E437-F437</f>
        <v>5500</v>
      </c>
      <c r="K437" s="10" t="str">
        <f aca="false">IF(G437&lt;0.2,"0-19%",IF(G437&lt;0.4,"20-39%",IF(G437&lt;0.6,"40-59%",IF(G437&lt;0.8,"60-79%","80%+"))))</f>
        <v>20-39%</v>
      </c>
      <c r="L437" s="10" t="str">
        <f aca="false">IF(H437="","No rating",IF(H437&lt;3.5,"Below 3.5",IF(H437&lt;4,"3.5-3.9",IF(H437&lt;4.5,"4.0-4.4","4.5+"))))</f>
        <v>4.0-4.4</v>
      </c>
    </row>
    <row r="438" customFormat="false" ht="15" hidden="false" customHeight="false" outlineLevel="0" collapsed="false">
      <c r="A438" s="10" t="s">
        <v>892</v>
      </c>
      <c r="B438" s="10" t="s">
        <v>893</v>
      </c>
      <c r="C438" s="10" t="s">
        <v>48</v>
      </c>
      <c r="D438" s="10" t="s">
        <v>700</v>
      </c>
      <c r="E438" s="11" t="n">
        <v>2899</v>
      </c>
      <c r="F438" s="11" t="n">
        <v>999</v>
      </c>
      <c r="G438" s="12" t="n">
        <v>0.66</v>
      </c>
      <c r="H438" s="13" t="n">
        <v>4.6</v>
      </c>
      <c r="I438" s="11" t="n">
        <v>26603</v>
      </c>
      <c r="J438" s="11" t="n">
        <f aca="false">E438-F438</f>
        <v>1900</v>
      </c>
      <c r="K438" s="10" t="str">
        <f aca="false">IF(G438&lt;0.2,"0-19%",IF(G438&lt;0.4,"20-39%",IF(G438&lt;0.6,"40-59%",IF(G438&lt;0.8,"60-79%","80%+"))))</f>
        <v>60-79%</v>
      </c>
      <c r="L438" s="10" t="str">
        <f aca="false">IF(H438="","No rating",IF(H438&lt;3.5,"Below 3.5",IF(H438&lt;4,"3.5-3.9",IF(H438&lt;4.5,"4.0-4.4","4.5+"))))</f>
        <v>4.5+</v>
      </c>
    </row>
    <row r="439" customFormat="false" ht="15" hidden="false" customHeight="false" outlineLevel="0" collapsed="false">
      <c r="A439" s="10" t="s">
        <v>894</v>
      </c>
      <c r="B439" s="10" t="s">
        <v>895</v>
      </c>
      <c r="C439" s="10" t="s">
        <v>48</v>
      </c>
      <c r="D439" s="10" t="s">
        <v>693</v>
      </c>
      <c r="E439" s="11" t="n">
        <v>4999</v>
      </c>
      <c r="F439" s="11" t="n">
        <v>1599</v>
      </c>
      <c r="G439" s="12" t="n">
        <v>0.68</v>
      </c>
      <c r="H439" s="13" t="n">
        <v>4</v>
      </c>
      <c r="I439" s="11" t="n">
        <v>67950</v>
      </c>
      <c r="J439" s="11" t="n">
        <f aca="false">E439-F439</f>
        <v>3400</v>
      </c>
      <c r="K439" s="10" t="str">
        <f aca="false">IF(G439&lt;0.2,"0-19%",IF(G439&lt;0.4,"20-39%",IF(G439&lt;0.6,"40-59%",IF(G439&lt;0.8,"60-79%","80%+"))))</f>
        <v>60-79%</v>
      </c>
      <c r="L439" s="10" t="str">
        <f aca="false">IF(H439="","No rating",IF(H439&lt;3.5,"Below 3.5",IF(H439&lt;4,"3.5-3.9",IF(H439&lt;4.5,"4.0-4.4","4.5+"))))</f>
        <v>4.0-4.4</v>
      </c>
    </row>
    <row r="440" customFormat="false" ht="15" hidden="false" customHeight="false" outlineLevel="0" collapsed="false">
      <c r="A440" s="10" t="s">
        <v>896</v>
      </c>
      <c r="B440" s="10" t="s">
        <v>897</v>
      </c>
      <c r="C440" s="10" t="s">
        <v>48</v>
      </c>
      <c r="D440" s="10" t="s">
        <v>700</v>
      </c>
      <c r="E440" s="11" t="n">
        <v>1699</v>
      </c>
      <c r="F440" s="11" t="n">
        <v>1324</v>
      </c>
      <c r="G440" s="12" t="n">
        <v>0.22</v>
      </c>
      <c r="H440" s="13" t="n">
        <v>4</v>
      </c>
      <c r="I440" s="11" t="n">
        <v>128311</v>
      </c>
      <c r="J440" s="11" t="n">
        <f aca="false">E440-F440</f>
        <v>375</v>
      </c>
      <c r="K440" s="10" t="str">
        <f aca="false">IF(G440&lt;0.2,"0-19%",IF(G440&lt;0.4,"20-39%",IF(G440&lt;0.6,"40-59%",IF(G440&lt;0.8,"60-79%","80%+"))))</f>
        <v>20-39%</v>
      </c>
      <c r="L440" s="10" t="str">
        <f aca="false">IF(H440="","No rating",IF(H440&lt;3.5,"Below 3.5",IF(H440&lt;4,"3.5-3.9",IF(H440&lt;4.5,"4.0-4.4","4.5+"))))</f>
        <v>4.0-4.4</v>
      </c>
    </row>
    <row r="441" customFormat="false" ht="15" hidden="false" customHeight="false" outlineLevel="0" collapsed="false">
      <c r="A441" s="10" t="s">
        <v>898</v>
      </c>
      <c r="B441" s="10" t="s">
        <v>899</v>
      </c>
      <c r="C441" s="10" t="s">
        <v>48</v>
      </c>
      <c r="D441" s="10" t="s">
        <v>700</v>
      </c>
      <c r="E441" s="11" t="n">
        <v>29990</v>
      </c>
      <c r="F441" s="11" t="n">
        <v>20999</v>
      </c>
      <c r="G441" s="12" t="n">
        <v>0.3</v>
      </c>
      <c r="H441" s="13" t="n">
        <v>4.3</v>
      </c>
      <c r="I441" s="11" t="n">
        <v>9499</v>
      </c>
      <c r="J441" s="11" t="n">
        <f aca="false">E441-F441</f>
        <v>8991</v>
      </c>
      <c r="K441" s="10" t="str">
        <f aca="false">IF(G441&lt;0.2,"0-19%",IF(G441&lt;0.4,"20-39%",IF(G441&lt;0.6,"40-59%",IF(G441&lt;0.8,"60-79%","80%+"))))</f>
        <v>20-39%</v>
      </c>
      <c r="L441" s="10" t="str">
        <f aca="false">IF(H441="","No rating",IF(H441&lt;3.5,"Below 3.5",IF(H441&lt;4,"3.5-3.9",IF(H441&lt;4.5,"4.0-4.4","4.5+"))))</f>
        <v>4.0-4.4</v>
      </c>
    </row>
    <row r="442" customFormat="false" ht="15" hidden="false" customHeight="false" outlineLevel="0" collapsed="false">
      <c r="A442" s="10" t="s">
        <v>900</v>
      </c>
      <c r="B442" s="10" t="s">
        <v>901</v>
      </c>
      <c r="C442" s="10" t="s">
        <v>48</v>
      </c>
      <c r="D442" s="10" t="s">
        <v>700</v>
      </c>
      <c r="E442" s="11" t="n">
        <v>1999</v>
      </c>
      <c r="F442" s="11" t="n">
        <v>999</v>
      </c>
      <c r="G442" s="12" t="n">
        <v>0.5</v>
      </c>
      <c r="H442" s="13" t="n">
        <v>4.3</v>
      </c>
      <c r="I442" s="11" t="n">
        <v>1777</v>
      </c>
      <c r="J442" s="11" t="n">
        <f aca="false">E442-F442</f>
        <v>1000</v>
      </c>
      <c r="K442" s="10" t="str">
        <f aca="false">IF(G442&lt;0.2,"0-19%",IF(G442&lt;0.4,"20-39%",IF(G442&lt;0.6,"40-59%",IF(G442&lt;0.8,"60-79%","80%+"))))</f>
        <v>40-59%</v>
      </c>
      <c r="L442" s="10" t="str">
        <f aca="false">IF(H442="","No rating",IF(H442&lt;3.5,"Below 3.5",IF(H442&lt;4,"3.5-3.9",IF(H442&lt;4.5,"4.0-4.4","4.5+"))))</f>
        <v>4.0-4.4</v>
      </c>
    </row>
    <row r="443" customFormat="false" ht="15" hidden="false" customHeight="false" outlineLevel="0" collapsed="false">
      <c r="A443" s="10" t="s">
        <v>902</v>
      </c>
      <c r="B443" s="10" t="s">
        <v>903</v>
      </c>
      <c r="C443" s="10" t="s">
        <v>48</v>
      </c>
      <c r="D443" s="10" t="s">
        <v>700</v>
      </c>
      <c r="E443" s="11" t="n">
        <v>15990</v>
      </c>
      <c r="F443" s="11" t="n">
        <v>12490</v>
      </c>
      <c r="G443" s="12" t="n">
        <v>0.22</v>
      </c>
      <c r="H443" s="13" t="n">
        <v>4.2</v>
      </c>
      <c r="I443" s="11" t="n">
        <v>58506</v>
      </c>
      <c r="J443" s="11" t="n">
        <f aca="false">E443-F443</f>
        <v>3500</v>
      </c>
      <c r="K443" s="10" t="str">
        <f aca="false">IF(G443&lt;0.2,"0-19%",IF(G443&lt;0.4,"20-39%",IF(G443&lt;0.6,"40-59%",IF(G443&lt;0.8,"60-79%","80%+"))))</f>
        <v>20-39%</v>
      </c>
      <c r="L443" s="10" t="str">
        <f aca="false">IF(H443="","No rating",IF(H443&lt;3.5,"Below 3.5",IF(H443&lt;4,"3.5-3.9",IF(H443&lt;4.5,"4.0-4.4","4.5+"))))</f>
        <v>4.0-4.4</v>
      </c>
    </row>
    <row r="444" customFormat="false" ht="15" hidden="false" customHeight="false" outlineLevel="0" collapsed="false">
      <c r="A444" s="10" t="s">
        <v>904</v>
      </c>
      <c r="B444" s="10" t="s">
        <v>905</v>
      </c>
      <c r="C444" s="10" t="s">
        <v>48</v>
      </c>
      <c r="D444" s="10" t="s">
        <v>700</v>
      </c>
      <c r="E444" s="11" t="n">
        <v>21990</v>
      </c>
      <c r="F444" s="11" t="n">
        <v>17999</v>
      </c>
      <c r="G444" s="12" t="n">
        <v>0.18</v>
      </c>
      <c r="H444" s="13" t="n">
        <v>4</v>
      </c>
      <c r="I444" s="11" t="n">
        <v>21350</v>
      </c>
      <c r="J444" s="11" t="n">
        <f aca="false">E444-F444</f>
        <v>3991</v>
      </c>
      <c r="K444" s="10" t="str">
        <f aca="false">IF(G444&lt;0.2,"0-19%",IF(G444&lt;0.4,"20-39%",IF(G444&lt;0.6,"40-59%",IF(G444&lt;0.8,"60-79%","80%+"))))</f>
        <v>0-19%</v>
      </c>
      <c r="L444" s="10" t="str">
        <f aca="false">IF(H444="","No rating",IF(H444&lt;3.5,"Below 3.5",IF(H444&lt;4,"3.5-3.9",IF(H444&lt;4.5,"4.0-4.4","4.5+"))))</f>
        <v>4.0-4.4</v>
      </c>
    </row>
    <row r="445" customFormat="false" ht="15" hidden="false" customHeight="false" outlineLevel="0" collapsed="false">
      <c r="A445" s="10" t="s">
        <v>906</v>
      </c>
      <c r="B445" s="10" t="s">
        <v>907</v>
      </c>
      <c r="C445" s="10" t="s">
        <v>48</v>
      </c>
      <c r="D445" s="10" t="s">
        <v>700</v>
      </c>
      <c r="E445" s="11" t="n">
        <v>1630</v>
      </c>
      <c r="F445" s="11" t="n">
        <v>1399</v>
      </c>
      <c r="G445" s="12" t="n">
        <v>0.14</v>
      </c>
      <c r="H445" s="13" t="n">
        <v>4</v>
      </c>
      <c r="I445" s="11" t="n">
        <v>9378</v>
      </c>
      <c r="J445" s="11" t="n">
        <f aca="false">E445-F445</f>
        <v>231</v>
      </c>
      <c r="K445" s="10" t="str">
        <f aca="false">IF(G445&lt;0.2,"0-19%",IF(G445&lt;0.4,"20-39%",IF(G445&lt;0.6,"40-59%",IF(G445&lt;0.8,"60-79%","80%+"))))</f>
        <v>0-19%</v>
      </c>
      <c r="L445" s="10" t="str">
        <f aca="false">IF(H445="","No rating",IF(H445&lt;3.5,"Below 3.5",IF(H445&lt;4,"3.5-3.9",IF(H445&lt;4.5,"4.0-4.4","4.5+"))))</f>
        <v>4.0-4.4</v>
      </c>
    </row>
    <row r="446" customFormat="false" ht="15" hidden="false" customHeight="false" outlineLevel="0" collapsed="false">
      <c r="A446" s="10" t="s">
        <v>908</v>
      </c>
      <c r="B446" s="10" t="s">
        <v>909</v>
      </c>
      <c r="C446" s="10" t="s">
        <v>48</v>
      </c>
      <c r="D446" s="10" t="s">
        <v>693</v>
      </c>
      <c r="E446" s="11" t="n">
        <v>6990</v>
      </c>
      <c r="F446" s="11" t="n">
        <v>1499</v>
      </c>
      <c r="G446" s="12" t="n">
        <v>0.79</v>
      </c>
      <c r="H446" s="13" t="n">
        <v>3.9</v>
      </c>
      <c r="I446" s="11" t="n">
        <v>21796</v>
      </c>
      <c r="J446" s="11" t="n">
        <f aca="false">E446-F446</f>
        <v>5491</v>
      </c>
      <c r="K446" s="10" t="str">
        <f aca="false">IF(G446&lt;0.2,"0-19%",IF(G446&lt;0.4,"20-39%",IF(G446&lt;0.6,"40-59%",IF(G446&lt;0.8,"60-79%","80%+"))))</f>
        <v>60-79%</v>
      </c>
      <c r="L446" s="10" t="str">
        <f aca="false">IF(H446="","No rating",IF(H446&lt;3.5,"Below 3.5",IF(H446&lt;4,"3.5-3.9",IF(H446&lt;4.5,"4.0-4.4","4.5+"))))</f>
        <v>3.5-3.9</v>
      </c>
    </row>
    <row r="447" customFormat="false" ht="15" hidden="false" customHeight="false" outlineLevel="0" collapsed="false">
      <c r="A447" s="10" t="s">
        <v>910</v>
      </c>
      <c r="B447" s="10" t="s">
        <v>911</v>
      </c>
      <c r="C447" s="10" t="s">
        <v>48</v>
      </c>
      <c r="D447" s="10" t="s">
        <v>693</v>
      </c>
      <c r="E447" s="11" t="n">
        <v>7990</v>
      </c>
      <c r="F447" s="11" t="n">
        <v>1999</v>
      </c>
      <c r="G447" s="12" t="n">
        <v>0.75</v>
      </c>
      <c r="H447" s="13" t="n">
        <v>3.8</v>
      </c>
      <c r="I447" s="11" t="n">
        <v>17833</v>
      </c>
      <c r="J447" s="11" t="n">
        <f aca="false">E447-F447</f>
        <v>5991</v>
      </c>
      <c r="K447" s="10" t="str">
        <f aca="false">IF(G447&lt;0.2,"0-19%",IF(G447&lt;0.4,"20-39%",IF(G447&lt;0.6,"40-59%",IF(G447&lt;0.8,"60-79%","80%+"))))</f>
        <v>60-79%</v>
      </c>
      <c r="L447" s="10" t="str">
        <f aca="false">IF(H447="","No rating",IF(H447&lt;3.5,"Below 3.5",IF(H447&lt;4,"3.5-3.9",IF(H447&lt;4.5,"4.0-4.4","4.5+"))))</f>
        <v>3.5-3.9</v>
      </c>
    </row>
    <row r="448" customFormat="false" ht="15" hidden="false" customHeight="false" outlineLevel="0" collapsed="false">
      <c r="A448" s="10" t="s">
        <v>912</v>
      </c>
      <c r="B448" s="10" t="s">
        <v>913</v>
      </c>
      <c r="C448" s="10" t="s">
        <v>48</v>
      </c>
      <c r="D448" s="10" t="s">
        <v>700</v>
      </c>
      <c r="E448" s="11" t="n">
        <v>2899</v>
      </c>
      <c r="F448" s="11" t="n">
        <v>999</v>
      </c>
      <c r="G448" s="12" t="n">
        <v>0.66</v>
      </c>
      <c r="H448" s="13" t="n">
        <v>4.7</v>
      </c>
      <c r="I448" s="11" t="n">
        <v>7779</v>
      </c>
      <c r="J448" s="11" t="n">
        <f aca="false">E448-F448</f>
        <v>1900</v>
      </c>
      <c r="K448" s="10" t="str">
        <f aca="false">IF(G448&lt;0.2,"0-19%",IF(G448&lt;0.4,"20-39%",IF(G448&lt;0.6,"40-59%",IF(G448&lt;0.8,"60-79%","80%+"))))</f>
        <v>60-79%</v>
      </c>
      <c r="L448" s="10" t="str">
        <f aca="false">IF(H448="","No rating",IF(H448&lt;3.5,"Below 3.5",IF(H448&lt;4,"3.5-3.9",IF(H448&lt;4.5,"4.0-4.4","4.5+"))))</f>
        <v>4.5+</v>
      </c>
    </row>
    <row r="449" customFormat="false" ht="15" hidden="false" customHeight="false" outlineLevel="0" collapsed="false">
      <c r="A449" s="10" t="s">
        <v>914</v>
      </c>
      <c r="B449" s="10" t="s">
        <v>915</v>
      </c>
      <c r="C449" s="10" t="s">
        <v>48</v>
      </c>
      <c r="D449" s="10" t="s">
        <v>700</v>
      </c>
      <c r="E449" s="11" t="n">
        <v>5999</v>
      </c>
      <c r="F449" s="11" t="n">
        <v>2099</v>
      </c>
      <c r="G449" s="12" t="n">
        <v>0.65</v>
      </c>
      <c r="H449" s="13" t="n">
        <v>4.3</v>
      </c>
      <c r="I449" s="11" t="n">
        <v>17129</v>
      </c>
      <c r="J449" s="11" t="n">
        <f aca="false">E449-F449</f>
        <v>3900</v>
      </c>
      <c r="K449" s="10" t="str">
        <f aca="false">IF(G449&lt;0.2,"0-19%",IF(G449&lt;0.4,"20-39%",IF(G449&lt;0.6,"40-59%",IF(G449&lt;0.8,"60-79%","80%+"))))</f>
        <v>60-79%</v>
      </c>
      <c r="L449" s="10" t="str">
        <f aca="false">IF(H449="","No rating",IF(H449&lt;3.5,"Below 3.5",IF(H449&lt;4,"3.5-3.9",IF(H449&lt;4.5,"4.0-4.4","4.5+"))))</f>
        <v>4.0-4.4</v>
      </c>
    </row>
    <row r="450" customFormat="false" ht="15" hidden="false" customHeight="false" outlineLevel="0" collapsed="false">
      <c r="A450" s="10" t="s">
        <v>916</v>
      </c>
      <c r="B450" s="10" t="s">
        <v>917</v>
      </c>
      <c r="C450" s="10" t="s">
        <v>48</v>
      </c>
      <c r="D450" s="10" t="s">
        <v>700</v>
      </c>
      <c r="E450" s="11" t="n">
        <v>699</v>
      </c>
      <c r="F450" s="11" t="n">
        <v>337</v>
      </c>
      <c r="G450" s="12" t="n">
        <v>0.52</v>
      </c>
      <c r="H450" s="13" t="n">
        <v>4.2</v>
      </c>
      <c r="I450" s="11" t="n">
        <v>4969</v>
      </c>
      <c r="J450" s="11" t="n">
        <f aca="false">E450-F450</f>
        <v>362</v>
      </c>
      <c r="K450" s="10" t="str">
        <f aca="false">IF(G450&lt;0.2,"0-19%",IF(G450&lt;0.4,"20-39%",IF(G450&lt;0.6,"40-59%",IF(G450&lt;0.8,"60-79%","80%+"))))</f>
        <v>40-59%</v>
      </c>
      <c r="L450" s="10" t="str">
        <f aca="false">IF(H450="","No rating",IF(H450&lt;3.5,"Below 3.5",IF(H450&lt;4,"3.5-3.9",IF(H450&lt;4.5,"4.0-4.4","4.5+"))))</f>
        <v>4.0-4.4</v>
      </c>
    </row>
    <row r="451" customFormat="false" ht="15" hidden="false" customHeight="false" outlineLevel="0" collapsed="false">
      <c r="A451" s="10" t="s">
        <v>918</v>
      </c>
      <c r="B451" s="10" t="s">
        <v>919</v>
      </c>
      <c r="C451" s="10" t="s">
        <v>48</v>
      </c>
      <c r="D451" s="10" t="s">
        <v>693</v>
      </c>
      <c r="E451" s="11" t="n">
        <v>7990</v>
      </c>
      <c r="F451" s="11" t="n">
        <v>2999</v>
      </c>
      <c r="G451" s="12" t="n">
        <v>0.62</v>
      </c>
      <c r="H451" s="13" t="n">
        <v>4.1</v>
      </c>
      <c r="I451" s="11" t="n">
        <v>154</v>
      </c>
      <c r="J451" s="11" t="n">
        <f aca="false">E451-F451</f>
        <v>4991</v>
      </c>
      <c r="K451" s="10" t="str">
        <f aca="false">IF(G451&lt;0.2,"0-19%",IF(G451&lt;0.4,"20-39%",IF(G451&lt;0.6,"40-59%",IF(G451&lt;0.8,"60-79%","80%+"))))</f>
        <v>60-79%</v>
      </c>
      <c r="L451" s="10" t="str">
        <f aca="false">IF(H451="","No rating",IF(H451&lt;3.5,"Below 3.5",IF(H451&lt;4,"3.5-3.9",IF(H451&lt;4.5,"4.0-4.4","4.5+"))))</f>
        <v>4.0-4.4</v>
      </c>
    </row>
    <row r="452" customFormat="false" ht="15" hidden="false" customHeight="false" outlineLevel="0" collapsed="false">
      <c r="A452" s="10" t="s">
        <v>920</v>
      </c>
      <c r="B452" s="10" t="s">
        <v>921</v>
      </c>
      <c r="C452" s="10" t="s">
        <v>48</v>
      </c>
      <c r="D452" s="10" t="s">
        <v>693</v>
      </c>
      <c r="E452" s="11" t="n">
        <v>5999</v>
      </c>
      <c r="F452" s="11" t="n">
        <v>1299</v>
      </c>
      <c r="G452" s="12" t="n">
        <v>0.78</v>
      </c>
      <c r="H452" s="13" t="n">
        <v>3.3</v>
      </c>
      <c r="I452" s="11" t="n">
        <v>4415</v>
      </c>
      <c r="J452" s="11" t="n">
        <f aca="false">E452-F452</f>
        <v>4700</v>
      </c>
      <c r="K452" s="10" t="str">
        <f aca="false">IF(G452&lt;0.2,"0-19%",IF(G452&lt;0.4,"20-39%",IF(G452&lt;0.6,"40-59%",IF(G452&lt;0.8,"60-79%","80%+"))))</f>
        <v>60-79%</v>
      </c>
      <c r="L452" s="10" t="str">
        <f aca="false">IF(H452="","No rating",IF(H452&lt;3.5,"Below 3.5",IF(H452&lt;4,"3.5-3.9",IF(H452&lt;4.5,"4.0-4.4","4.5+"))))</f>
        <v>Below 3.5</v>
      </c>
    </row>
    <row r="453" customFormat="false" ht="15" hidden="false" customHeight="false" outlineLevel="0" collapsed="false">
      <c r="A453" s="10" t="s">
        <v>922</v>
      </c>
      <c r="B453" s="10" t="s">
        <v>923</v>
      </c>
      <c r="C453" s="10" t="s">
        <v>48</v>
      </c>
      <c r="D453" s="10" t="s">
        <v>700</v>
      </c>
      <c r="E453" s="11" t="n">
        <v>20990</v>
      </c>
      <c r="F453" s="11" t="n">
        <v>16499</v>
      </c>
      <c r="G453" s="12" t="n">
        <v>0.21</v>
      </c>
      <c r="H453" s="13" t="n">
        <v>4</v>
      </c>
      <c r="I453" s="11" t="n">
        <v>21350</v>
      </c>
      <c r="J453" s="11" t="n">
        <f aca="false">E453-F453</f>
        <v>4491</v>
      </c>
      <c r="K453" s="10" t="str">
        <f aca="false">IF(G453&lt;0.2,"0-19%",IF(G453&lt;0.4,"20-39%",IF(G453&lt;0.6,"40-59%",IF(G453&lt;0.8,"60-79%","80%+"))))</f>
        <v>20-39%</v>
      </c>
      <c r="L453" s="10" t="str">
        <f aca="false">IF(H453="","No rating",IF(H453&lt;3.5,"Below 3.5",IF(H453&lt;4,"3.5-3.9",IF(H453&lt;4.5,"4.0-4.4","4.5+"))))</f>
        <v>4.0-4.4</v>
      </c>
    </row>
    <row r="454" customFormat="false" ht="15" hidden="false" customHeight="false" outlineLevel="0" collapsed="false">
      <c r="A454" s="10" t="s">
        <v>924</v>
      </c>
      <c r="B454" s="10" t="s">
        <v>925</v>
      </c>
      <c r="C454" s="10" t="s">
        <v>48</v>
      </c>
      <c r="D454" s="10" t="s">
        <v>722</v>
      </c>
      <c r="E454" s="11" t="n">
        <v>499</v>
      </c>
      <c r="F454" s="11" t="n">
        <v>499</v>
      </c>
      <c r="G454" s="12" t="n">
        <v>0</v>
      </c>
      <c r="H454" s="13" t="n">
        <v>4.2</v>
      </c>
      <c r="I454" s="11" t="n">
        <v>31539</v>
      </c>
      <c r="J454" s="11" t="n">
        <f aca="false">E454-F454</f>
        <v>0</v>
      </c>
      <c r="K454" s="10" t="str">
        <f aca="false">IF(G454&lt;0.2,"0-19%",IF(G454&lt;0.4,"20-39%",IF(G454&lt;0.6,"40-59%",IF(G454&lt;0.8,"60-79%","80%+"))))</f>
        <v>0-19%</v>
      </c>
      <c r="L454" s="10" t="str">
        <f aca="false">IF(H454="","No rating",IF(H454&lt;3.5,"Below 3.5",IF(H454&lt;4,"3.5-3.9",IF(H454&lt;4.5,"4.0-4.4","4.5+"))))</f>
        <v>4.0-4.4</v>
      </c>
    </row>
    <row r="455" customFormat="false" ht="15" hidden="false" customHeight="false" outlineLevel="0" collapsed="false">
      <c r="A455" s="10" t="s">
        <v>926</v>
      </c>
      <c r="B455" s="10" t="s">
        <v>927</v>
      </c>
      <c r="C455" s="10" t="s">
        <v>48</v>
      </c>
      <c r="D455" s="10" t="s">
        <v>700</v>
      </c>
      <c r="E455" s="11" t="n">
        <v>2899</v>
      </c>
      <c r="F455" s="11" t="n">
        <v>999</v>
      </c>
      <c r="G455" s="12" t="n">
        <v>0.66</v>
      </c>
      <c r="H455" s="13" t="n">
        <v>4.6</v>
      </c>
      <c r="I455" s="11" t="n">
        <v>6129</v>
      </c>
      <c r="J455" s="11" t="n">
        <f aca="false">E455-F455</f>
        <v>1900</v>
      </c>
      <c r="K455" s="10" t="str">
        <f aca="false">IF(G455&lt;0.2,"0-19%",IF(G455&lt;0.4,"20-39%",IF(G455&lt;0.6,"40-59%",IF(G455&lt;0.8,"60-79%","80%+"))))</f>
        <v>60-79%</v>
      </c>
      <c r="L455" s="10" t="str">
        <f aca="false">IF(H455="","No rating",IF(H455&lt;3.5,"Below 3.5",IF(H455&lt;4,"3.5-3.9",IF(H455&lt;4.5,"4.0-4.4","4.5+"))))</f>
        <v>4.5+</v>
      </c>
    </row>
    <row r="456" customFormat="false" ht="15" hidden="false" customHeight="false" outlineLevel="0" collapsed="false">
      <c r="A456" s="10" t="s">
        <v>928</v>
      </c>
      <c r="B456" s="10" t="s">
        <v>929</v>
      </c>
      <c r="C456" s="10" t="s">
        <v>48</v>
      </c>
      <c r="D456" s="10" t="s">
        <v>700</v>
      </c>
      <c r="E456" s="11" t="n">
        <v>13499</v>
      </c>
      <c r="F456" s="11" t="n">
        <v>10499</v>
      </c>
      <c r="G456" s="12" t="n">
        <v>0.22</v>
      </c>
      <c r="H456" s="13" t="n">
        <v>4.2</v>
      </c>
      <c r="I456" s="11" t="n">
        <v>284</v>
      </c>
      <c r="J456" s="11" t="n">
        <f aca="false">E456-F456</f>
        <v>3000</v>
      </c>
      <c r="K456" s="10" t="str">
        <f aca="false">IF(G456&lt;0.2,"0-19%",IF(G456&lt;0.4,"20-39%",IF(G456&lt;0.6,"40-59%",IF(G456&lt;0.8,"60-79%","80%+"))))</f>
        <v>20-39%</v>
      </c>
      <c r="L456" s="10" t="str">
        <f aca="false">IF(H456="","No rating",IF(H456&lt;3.5,"Below 3.5",IF(H456&lt;4,"3.5-3.9",IF(H456&lt;4.5,"4.0-4.4","4.5+"))))</f>
        <v>4.0-4.4</v>
      </c>
    </row>
    <row r="457" customFormat="false" ht="15" hidden="false" customHeight="false" outlineLevel="0" collapsed="false">
      <c r="A457" s="10" t="s">
        <v>930</v>
      </c>
      <c r="B457" s="10" t="s">
        <v>931</v>
      </c>
      <c r="C457" s="10" t="s">
        <v>48</v>
      </c>
      <c r="D457" s="10" t="s">
        <v>700</v>
      </c>
      <c r="E457" s="11" t="n">
        <v>999</v>
      </c>
      <c r="F457" s="11" t="n">
        <v>251</v>
      </c>
      <c r="G457" s="12" t="n">
        <v>0.75</v>
      </c>
      <c r="H457" s="13" t="n">
        <v>3.7</v>
      </c>
      <c r="I457" s="11" t="n">
        <v>3234</v>
      </c>
      <c r="J457" s="11" t="n">
        <f aca="false">E457-F457</f>
        <v>748</v>
      </c>
      <c r="K457" s="10" t="str">
        <f aca="false">IF(G457&lt;0.2,"0-19%",IF(G457&lt;0.4,"20-39%",IF(G457&lt;0.6,"40-59%",IF(G457&lt;0.8,"60-79%","80%+"))))</f>
        <v>60-79%</v>
      </c>
      <c r="L457" s="10" t="str">
        <f aca="false">IF(H457="","No rating",IF(H457&lt;3.5,"Below 3.5",IF(H457&lt;4,"3.5-3.9",IF(H457&lt;4.5,"4.0-4.4","4.5+"))))</f>
        <v>3.5-3.9</v>
      </c>
    </row>
    <row r="458" customFormat="false" ht="15" hidden="false" customHeight="false" outlineLevel="0" collapsed="false">
      <c r="A458" s="10" t="s">
        <v>932</v>
      </c>
      <c r="B458" s="10" t="s">
        <v>933</v>
      </c>
      <c r="C458" s="10" t="s">
        <v>48</v>
      </c>
      <c r="D458" s="10" t="s">
        <v>700</v>
      </c>
      <c r="E458" s="11" t="n">
        <v>7999</v>
      </c>
      <c r="F458" s="11" t="n">
        <v>6499</v>
      </c>
      <c r="G458" s="12" t="n">
        <v>0.19</v>
      </c>
      <c r="H458" s="13" t="n">
        <v>4.1</v>
      </c>
      <c r="I458" s="11" t="n">
        <v>313832</v>
      </c>
      <c r="J458" s="11" t="n">
        <f aca="false">E458-F458</f>
        <v>1500</v>
      </c>
      <c r="K458" s="10" t="str">
        <f aca="false">IF(G458&lt;0.2,"0-19%",IF(G458&lt;0.4,"20-39%",IF(G458&lt;0.6,"40-59%",IF(G458&lt;0.8,"60-79%","80%+"))))</f>
        <v>0-19%</v>
      </c>
      <c r="L458" s="10" t="str">
        <f aca="false">IF(H458="","No rating",IF(H458&lt;3.5,"Below 3.5",IF(H458&lt;4,"3.5-3.9",IF(H458&lt;4.5,"4.0-4.4","4.5+"))))</f>
        <v>4.0-4.4</v>
      </c>
    </row>
    <row r="459" customFormat="false" ht="15" hidden="false" customHeight="false" outlineLevel="0" collapsed="false">
      <c r="A459" s="10" t="s">
        <v>934</v>
      </c>
      <c r="B459" s="10" t="s">
        <v>935</v>
      </c>
      <c r="C459" s="10" t="s">
        <v>48</v>
      </c>
      <c r="D459" s="10" t="s">
        <v>693</v>
      </c>
      <c r="E459" s="11" t="n">
        <v>9999</v>
      </c>
      <c r="F459" s="11" t="n">
        <v>2999</v>
      </c>
      <c r="G459" s="12" t="n">
        <v>0.7</v>
      </c>
      <c r="H459" s="13" t="n">
        <v>4.2</v>
      </c>
      <c r="I459" s="11" t="n">
        <v>20879</v>
      </c>
      <c r="J459" s="11" t="n">
        <f aca="false">E459-F459</f>
        <v>7000</v>
      </c>
      <c r="K459" s="10" t="str">
        <f aca="false">IF(G459&lt;0.2,"0-19%",IF(G459&lt;0.4,"20-39%",IF(G459&lt;0.6,"40-59%",IF(G459&lt;0.8,"60-79%","80%+"))))</f>
        <v>60-79%</v>
      </c>
      <c r="L459" s="10" t="str">
        <f aca="false">IF(H459="","No rating",IF(H459&lt;3.5,"Below 3.5",IF(H459&lt;4,"3.5-3.9",IF(H459&lt;4.5,"4.0-4.4","4.5+"))))</f>
        <v>4.0-4.4</v>
      </c>
    </row>
    <row r="460" customFormat="false" ht="15" hidden="false" customHeight="false" outlineLevel="0" collapsed="false">
      <c r="A460" s="10" t="s">
        <v>936</v>
      </c>
      <c r="B460" s="10" t="s">
        <v>937</v>
      </c>
      <c r="C460" s="10" t="s">
        <v>48</v>
      </c>
      <c r="D460" s="10" t="s">
        <v>700</v>
      </c>
      <c r="E460" s="11" t="n">
        <v>1499</v>
      </c>
      <c r="F460" s="11" t="n">
        <v>279</v>
      </c>
      <c r="G460" s="12" t="n">
        <v>0.81</v>
      </c>
      <c r="H460" s="13" t="n">
        <v>4.2</v>
      </c>
      <c r="I460" s="11" t="n">
        <v>2646</v>
      </c>
      <c r="J460" s="11" t="n">
        <f aca="false">E460-F460</f>
        <v>1220</v>
      </c>
      <c r="K460" s="10" t="str">
        <f aca="false">IF(G460&lt;0.2,"0-19%",IF(G460&lt;0.4,"20-39%",IF(G460&lt;0.6,"40-59%",IF(G460&lt;0.8,"60-79%","80%+"))))</f>
        <v>80%+</v>
      </c>
      <c r="L460" s="10" t="str">
        <f aca="false">IF(H460="","No rating",IF(H460&lt;3.5,"Below 3.5",IF(H460&lt;4,"3.5-3.9",IF(H460&lt;4.5,"4.0-4.4","4.5+"))))</f>
        <v>4.0-4.4</v>
      </c>
    </row>
    <row r="461" customFormat="false" ht="15" hidden="false" customHeight="false" outlineLevel="0" collapsed="false">
      <c r="A461" s="10" t="s">
        <v>938</v>
      </c>
      <c r="B461" s="10" t="s">
        <v>939</v>
      </c>
      <c r="C461" s="10" t="s">
        <v>48</v>
      </c>
      <c r="D461" s="10" t="s">
        <v>700</v>
      </c>
      <c r="E461" s="11" t="n">
        <v>1499</v>
      </c>
      <c r="F461" s="11" t="n">
        <v>269</v>
      </c>
      <c r="G461" s="12" t="n">
        <v>0.82</v>
      </c>
      <c r="H461" s="13" t="n">
        <v>4.5</v>
      </c>
      <c r="I461" s="11" t="n">
        <v>28978</v>
      </c>
      <c r="J461" s="11" t="n">
        <f aca="false">E461-F461</f>
        <v>1230</v>
      </c>
      <c r="K461" s="10" t="str">
        <f aca="false">IF(G461&lt;0.2,"0-19%",IF(G461&lt;0.4,"20-39%",IF(G461&lt;0.6,"40-59%",IF(G461&lt;0.8,"60-79%","80%+"))))</f>
        <v>80%+</v>
      </c>
      <c r="L461" s="10" t="str">
        <f aca="false">IF(H461="","No rating",IF(H461&lt;3.5,"Below 3.5",IF(H461&lt;4,"3.5-3.9",IF(H461&lt;4.5,"4.0-4.4","4.5+"))))</f>
        <v>4.5+</v>
      </c>
    </row>
    <row r="462" customFormat="false" ht="15" hidden="false" customHeight="false" outlineLevel="0" collapsed="false">
      <c r="A462" s="10" t="s">
        <v>940</v>
      </c>
      <c r="B462" s="10" t="s">
        <v>941</v>
      </c>
      <c r="C462" s="10" t="s">
        <v>48</v>
      </c>
      <c r="D462" s="10" t="s">
        <v>700</v>
      </c>
      <c r="E462" s="11" t="n">
        <v>13499</v>
      </c>
      <c r="F462" s="11" t="n">
        <v>8999</v>
      </c>
      <c r="G462" s="12" t="n">
        <v>0.33</v>
      </c>
      <c r="H462" s="13" t="n">
        <v>3.8</v>
      </c>
      <c r="I462" s="11" t="n">
        <v>3145</v>
      </c>
      <c r="J462" s="11" t="n">
        <f aca="false">E462-F462</f>
        <v>4500</v>
      </c>
      <c r="K462" s="10" t="str">
        <f aca="false">IF(G462&lt;0.2,"0-19%",IF(G462&lt;0.4,"20-39%",IF(G462&lt;0.6,"40-59%",IF(G462&lt;0.8,"60-79%","80%+"))))</f>
        <v>20-39%</v>
      </c>
      <c r="L462" s="10" t="str">
        <f aca="false">IF(H462="","No rating",IF(H462&lt;3.5,"Below 3.5",IF(H462&lt;4,"3.5-3.9",IF(H462&lt;4.5,"4.0-4.4","4.5+"))))</f>
        <v>3.5-3.9</v>
      </c>
    </row>
    <row r="463" customFormat="false" ht="15" hidden="false" customHeight="false" outlineLevel="0" collapsed="false">
      <c r="A463" s="10" t="s">
        <v>942</v>
      </c>
      <c r="B463" s="10" t="s">
        <v>943</v>
      </c>
      <c r="C463" s="10" t="s">
        <v>48</v>
      </c>
      <c r="D463" s="10" t="s">
        <v>722</v>
      </c>
      <c r="E463" s="11" t="n">
        <v>1299</v>
      </c>
      <c r="F463" s="11" t="n">
        <v>599</v>
      </c>
      <c r="G463" s="12" t="n">
        <v>0.54</v>
      </c>
      <c r="H463" s="13" t="n">
        <v>4.1</v>
      </c>
      <c r="I463" s="11" t="n">
        <v>192589</v>
      </c>
      <c r="J463" s="11" t="n">
        <f aca="false">E463-F463</f>
        <v>700</v>
      </c>
      <c r="K463" s="10" t="str">
        <f aca="false">IF(G463&lt;0.2,"0-19%",IF(G463&lt;0.4,"20-39%",IF(G463&lt;0.6,"40-59%",IF(G463&lt;0.8,"60-79%","80%+"))))</f>
        <v>40-59%</v>
      </c>
      <c r="L463" s="10" t="str">
        <f aca="false">IF(H463="","No rating",IF(H463&lt;3.5,"Below 3.5",IF(H463&lt;4,"3.5-3.9",IF(H463&lt;4.5,"4.0-4.4","4.5+"))))</f>
        <v>4.0-4.4</v>
      </c>
    </row>
    <row r="464" customFormat="false" ht="15" hidden="false" customHeight="false" outlineLevel="0" collapsed="false">
      <c r="A464" s="10" t="s">
        <v>944</v>
      </c>
      <c r="B464" s="10" t="s">
        <v>945</v>
      </c>
      <c r="C464" s="10" t="s">
        <v>48</v>
      </c>
      <c r="D464" s="10" t="s">
        <v>700</v>
      </c>
      <c r="E464" s="11" t="n">
        <v>999</v>
      </c>
      <c r="F464" s="11" t="n">
        <v>349</v>
      </c>
      <c r="G464" s="12" t="n">
        <v>0.65</v>
      </c>
      <c r="H464" s="13" t="n">
        <v>3.8</v>
      </c>
      <c r="I464" s="11" t="n">
        <v>16557</v>
      </c>
      <c r="J464" s="11" t="n">
        <f aca="false">E464-F464</f>
        <v>650</v>
      </c>
      <c r="K464" s="10" t="str">
        <f aca="false">IF(G464&lt;0.2,"0-19%",IF(G464&lt;0.4,"20-39%",IF(G464&lt;0.6,"40-59%",IF(G464&lt;0.8,"60-79%","80%+"))))</f>
        <v>60-79%</v>
      </c>
      <c r="L464" s="10" t="str">
        <f aca="false">IF(H464="","No rating",IF(H464&lt;3.5,"Below 3.5",IF(H464&lt;4,"3.5-3.9",IF(H464&lt;4.5,"4.0-4.4","4.5+"))))</f>
        <v>3.5-3.9</v>
      </c>
    </row>
    <row r="465" customFormat="false" ht="15" hidden="false" customHeight="false" outlineLevel="0" collapsed="false">
      <c r="A465" s="10" t="s">
        <v>946</v>
      </c>
      <c r="B465" s="10" t="s">
        <v>811</v>
      </c>
      <c r="C465" s="10" t="s">
        <v>48</v>
      </c>
      <c r="D465" s="10" t="s">
        <v>700</v>
      </c>
      <c r="E465" s="11" t="n">
        <v>19499</v>
      </c>
      <c r="F465" s="11" t="n">
        <v>13999</v>
      </c>
      <c r="G465" s="12" t="n">
        <v>0.28</v>
      </c>
      <c r="H465" s="13" t="n">
        <v>4.1</v>
      </c>
      <c r="I465" s="11" t="n">
        <v>18998</v>
      </c>
      <c r="J465" s="11" t="n">
        <f aca="false">E465-F465</f>
        <v>5500</v>
      </c>
      <c r="K465" s="10" t="str">
        <f aca="false">IF(G465&lt;0.2,"0-19%",IF(G465&lt;0.4,"20-39%",IF(G465&lt;0.6,"40-59%",IF(G465&lt;0.8,"60-79%","80%+"))))</f>
        <v>20-39%</v>
      </c>
      <c r="L465" s="10" t="str">
        <f aca="false">IF(H465="","No rating",IF(H465&lt;3.5,"Below 3.5",IF(H465&lt;4,"3.5-3.9",IF(H465&lt;4.5,"4.0-4.4","4.5+"))))</f>
        <v>4.0-4.4</v>
      </c>
    </row>
    <row r="466" customFormat="false" ht="15" hidden="false" customHeight="false" outlineLevel="0" collapsed="false">
      <c r="A466" s="10" t="s">
        <v>947</v>
      </c>
      <c r="B466" s="10" t="s">
        <v>948</v>
      </c>
      <c r="C466" s="10" t="s">
        <v>48</v>
      </c>
      <c r="D466" s="10" t="s">
        <v>700</v>
      </c>
      <c r="E466" s="11" t="n">
        <v>999</v>
      </c>
      <c r="F466" s="11" t="n">
        <v>349</v>
      </c>
      <c r="G466" s="12" t="n">
        <v>0.65</v>
      </c>
      <c r="H466" s="13" t="n">
        <v>3.8</v>
      </c>
      <c r="I466" s="11" t="n">
        <v>16557</v>
      </c>
      <c r="J466" s="11" t="n">
        <f aca="false">E466-F466</f>
        <v>650</v>
      </c>
      <c r="K466" s="10" t="str">
        <f aca="false">IF(G466&lt;0.2,"0-19%",IF(G466&lt;0.4,"20-39%",IF(G466&lt;0.6,"40-59%",IF(G466&lt;0.8,"60-79%","80%+"))))</f>
        <v>60-79%</v>
      </c>
      <c r="L466" s="10" t="str">
        <f aca="false">IF(H466="","No rating",IF(H466&lt;3.5,"Below 3.5",IF(H466&lt;4,"3.5-3.9",IF(H466&lt;4.5,"4.0-4.4","4.5+"))))</f>
        <v>3.5-3.9</v>
      </c>
    </row>
    <row r="467" customFormat="false" ht="15" hidden="false" customHeight="false" outlineLevel="0" collapsed="false">
      <c r="A467" s="10" t="s">
        <v>949</v>
      </c>
      <c r="B467" s="10" t="s">
        <v>950</v>
      </c>
      <c r="C467" s="10" t="s">
        <v>48</v>
      </c>
      <c r="D467" s="10" t="s">
        <v>700</v>
      </c>
      <c r="E467" s="11" t="n">
        <v>599</v>
      </c>
      <c r="F467" s="11" t="n">
        <v>499</v>
      </c>
      <c r="G467" s="12" t="n">
        <v>0.17</v>
      </c>
      <c r="H467" s="13" t="n">
        <v>4.2</v>
      </c>
      <c r="I467" s="11" t="n">
        <v>21916</v>
      </c>
      <c r="J467" s="11" t="n">
        <f aca="false">E467-F467</f>
        <v>100</v>
      </c>
      <c r="K467" s="10" t="str">
        <f aca="false">IF(G467&lt;0.2,"0-19%",IF(G467&lt;0.4,"20-39%",IF(G467&lt;0.6,"40-59%",IF(G467&lt;0.8,"60-79%","80%+"))))</f>
        <v>0-19%</v>
      </c>
      <c r="L467" s="10" t="str">
        <f aca="false">IF(H467="","No rating",IF(H467&lt;3.5,"Below 3.5",IF(H467&lt;4,"3.5-3.9",IF(H467&lt;4.5,"4.0-4.4","4.5+"))))</f>
        <v>4.0-4.4</v>
      </c>
    </row>
    <row r="468" customFormat="false" ht="15" hidden="false" customHeight="false" outlineLevel="0" collapsed="false">
      <c r="A468" s="10" t="s">
        <v>951</v>
      </c>
      <c r="B468" s="10" t="s">
        <v>757</v>
      </c>
      <c r="C468" s="10" t="s">
        <v>48</v>
      </c>
      <c r="D468" s="10" t="s">
        <v>693</v>
      </c>
      <c r="E468" s="11" t="n">
        <v>9999</v>
      </c>
      <c r="F468" s="11" t="n">
        <v>2199</v>
      </c>
      <c r="G468" s="12" t="n">
        <v>0.78</v>
      </c>
      <c r="H468" s="13" t="n">
        <v>4.2</v>
      </c>
      <c r="I468" s="11" t="n">
        <v>29472</v>
      </c>
      <c r="J468" s="11" t="n">
        <f aca="false">E468-F468</f>
        <v>7800</v>
      </c>
      <c r="K468" s="10" t="str">
        <f aca="false">IF(G468&lt;0.2,"0-19%",IF(G468&lt;0.4,"20-39%",IF(G468&lt;0.6,"40-59%",IF(G468&lt;0.8,"60-79%","80%+"))))</f>
        <v>60-79%</v>
      </c>
      <c r="L468" s="10" t="str">
        <f aca="false">IF(H468="","No rating",IF(H468&lt;3.5,"Below 3.5",IF(H468&lt;4,"3.5-3.9",IF(H468&lt;4.5,"4.0-4.4","4.5+"))))</f>
        <v>4.0-4.4</v>
      </c>
    </row>
    <row r="469" customFormat="false" ht="15" hidden="false" customHeight="false" outlineLevel="0" collapsed="false">
      <c r="A469" s="10" t="s">
        <v>952</v>
      </c>
      <c r="B469" s="10" t="s">
        <v>953</v>
      </c>
      <c r="C469" s="10" t="s">
        <v>48</v>
      </c>
      <c r="D469" s="10" t="s">
        <v>700</v>
      </c>
      <c r="E469" s="11" t="n">
        <v>499</v>
      </c>
      <c r="F469" s="11" t="n">
        <v>95</v>
      </c>
      <c r="G469" s="12" t="n">
        <v>0.81</v>
      </c>
      <c r="H469" s="13" t="n">
        <v>4.2</v>
      </c>
      <c r="I469" s="11" t="n">
        <v>1949</v>
      </c>
      <c r="J469" s="11" t="n">
        <f aca="false">E469-F469</f>
        <v>404</v>
      </c>
      <c r="K469" s="10" t="str">
        <f aca="false">IF(G469&lt;0.2,"0-19%",IF(G469&lt;0.4,"20-39%",IF(G469&lt;0.6,"40-59%",IF(G469&lt;0.8,"60-79%","80%+"))))</f>
        <v>80%+</v>
      </c>
      <c r="L469" s="10" t="str">
        <f aca="false">IF(H469="","No rating",IF(H469&lt;3.5,"Below 3.5",IF(H469&lt;4,"3.5-3.9",IF(H469&lt;4.5,"4.0-4.4","4.5+"))))</f>
        <v>4.0-4.4</v>
      </c>
    </row>
    <row r="470" customFormat="false" ht="15" hidden="false" customHeight="false" outlineLevel="0" collapsed="false">
      <c r="A470" s="10" t="s">
        <v>954</v>
      </c>
      <c r="B470" s="10" t="s">
        <v>955</v>
      </c>
      <c r="C470" s="10" t="s">
        <v>21</v>
      </c>
      <c r="D470" s="10" t="s">
        <v>22</v>
      </c>
      <c r="E470" s="11" t="n">
        <v>249</v>
      </c>
      <c r="F470" s="11" t="n">
        <v>139</v>
      </c>
      <c r="G470" s="12" t="n">
        <v>0.44</v>
      </c>
      <c r="H470" s="13" t="n">
        <v>4</v>
      </c>
      <c r="I470" s="11" t="n">
        <v>9377</v>
      </c>
      <c r="J470" s="11" t="n">
        <f aca="false">E470-F470</f>
        <v>110</v>
      </c>
      <c r="K470" s="10" t="str">
        <f aca="false">IF(G470&lt;0.2,"0-19%",IF(G470&lt;0.4,"20-39%",IF(G470&lt;0.6,"40-59%",IF(G470&lt;0.8,"60-79%","80%+"))))</f>
        <v>40-59%</v>
      </c>
      <c r="L470" s="10" t="str">
        <f aca="false">IF(H470="","No rating",IF(H470&lt;3.5,"Below 3.5",IF(H470&lt;4,"3.5-3.9",IF(H470&lt;4.5,"4.0-4.4","4.5+"))))</f>
        <v>4.0-4.4</v>
      </c>
    </row>
    <row r="471" customFormat="false" ht="15" hidden="false" customHeight="false" outlineLevel="0" collapsed="false">
      <c r="A471" s="10" t="s">
        <v>956</v>
      </c>
      <c r="B471" s="10" t="s">
        <v>957</v>
      </c>
      <c r="C471" s="10" t="s">
        <v>48</v>
      </c>
      <c r="D471" s="10" t="s">
        <v>693</v>
      </c>
      <c r="E471" s="11" t="n">
        <v>7999</v>
      </c>
      <c r="F471" s="11" t="n">
        <v>4499</v>
      </c>
      <c r="G471" s="12" t="n">
        <v>0.44</v>
      </c>
      <c r="H471" s="13" t="n">
        <v>3.5</v>
      </c>
      <c r="I471" s="11" t="n">
        <v>37</v>
      </c>
      <c r="J471" s="11" t="n">
        <f aca="false">E471-F471</f>
        <v>3500</v>
      </c>
      <c r="K471" s="10" t="str">
        <f aca="false">IF(G471&lt;0.2,"0-19%",IF(G471&lt;0.4,"20-39%",IF(G471&lt;0.6,"40-59%",IF(G471&lt;0.8,"60-79%","80%+"))))</f>
        <v>40-59%</v>
      </c>
      <c r="L471" s="10" t="str">
        <f aca="false">IF(H471="","No rating",IF(H471&lt;3.5,"Below 3.5",IF(H471&lt;4,"3.5-3.9",IF(H471&lt;4.5,"4.0-4.4","4.5+"))))</f>
        <v>3.5-3.9</v>
      </c>
    </row>
    <row r="472" customFormat="false" ht="15" hidden="false" customHeight="false" outlineLevel="0" collapsed="false">
      <c r="A472" s="10" t="s">
        <v>958</v>
      </c>
      <c r="B472" s="10" t="s">
        <v>959</v>
      </c>
      <c r="C472" s="10" t="s">
        <v>48</v>
      </c>
      <c r="D472" s="10" t="s">
        <v>700</v>
      </c>
      <c r="E472" s="11" t="n">
        <v>599</v>
      </c>
      <c r="F472" s="11" t="n">
        <v>89</v>
      </c>
      <c r="G472" s="12" t="n">
        <v>0.85</v>
      </c>
      <c r="H472" s="13" t="n">
        <v>4.3</v>
      </c>
      <c r="I472" s="11" t="n">
        <v>2351</v>
      </c>
      <c r="J472" s="11" t="n">
        <f aca="false">E472-F472</f>
        <v>510</v>
      </c>
      <c r="K472" s="10" t="str">
        <f aca="false">IF(G472&lt;0.2,"0-19%",IF(G472&lt;0.4,"20-39%",IF(G472&lt;0.6,"40-59%",IF(G472&lt;0.8,"60-79%","80%+"))))</f>
        <v>80%+</v>
      </c>
      <c r="L472" s="10" t="str">
        <f aca="false">IF(H472="","No rating",IF(H472&lt;3.5,"Below 3.5",IF(H472&lt;4,"3.5-3.9",IF(H472&lt;4.5,"4.0-4.4","4.5+"))))</f>
        <v>4.0-4.4</v>
      </c>
    </row>
    <row r="473" customFormat="false" ht="15" hidden="false" customHeight="false" outlineLevel="0" collapsed="false">
      <c r="A473" s="10" t="s">
        <v>960</v>
      </c>
      <c r="B473" s="10" t="s">
        <v>961</v>
      </c>
      <c r="C473" s="10" t="s">
        <v>48</v>
      </c>
      <c r="D473" s="10" t="s">
        <v>700</v>
      </c>
      <c r="E473" s="11" t="n">
        <v>20999</v>
      </c>
      <c r="F473" s="11" t="n">
        <v>15499</v>
      </c>
      <c r="G473" s="12" t="n">
        <v>0.26</v>
      </c>
      <c r="H473" s="13" t="n">
        <v>4.1</v>
      </c>
      <c r="I473" s="11" t="n">
        <v>19253</v>
      </c>
      <c r="J473" s="11" t="n">
        <f aca="false">E473-F473</f>
        <v>5500</v>
      </c>
      <c r="K473" s="10" t="str">
        <f aca="false">IF(G473&lt;0.2,"0-19%",IF(G473&lt;0.4,"20-39%",IF(G473&lt;0.6,"40-59%",IF(G473&lt;0.8,"60-79%","80%+"))))</f>
        <v>20-39%</v>
      </c>
      <c r="L473" s="10" t="str">
        <f aca="false">IF(H473="","No rating",IF(H473&lt;3.5,"Below 3.5",IF(H473&lt;4,"3.5-3.9",IF(H473&lt;4.5,"4.0-4.4","4.5+"))))</f>
        <v>4.0-4.4</v>
      </c>
    </row>
    <row r="474" customFormat="false" ht="15" hidden="false" customHeight="false" outlineLevel="0" collapsed="false">
      <c r="A474" s="10" t="s">
        <v>962</v>
      </c>
      <c r="B474" s="10" t="s">
        <v>963</v>
      </c>
      <c r="C474" s="10" t="s">
        <v>48</v>
      </c>
      <c r="D474" s="10" t="s">
        <v>700</v>
      </c>
      <c r="E474" s="11" t="n">
        <v>15999</v>
      </c>
      <c r="F474" s="11" t="n">
        <v>13999</v>
      </c>
      <c r="G474" s="12" t="n">
        <v>0.13</v>
      </c>
      <c r="H474" s="13" t="n">
        <v>3.9</v>
      </c>
      <c r="I474" s="11" t="n">
        <v>2180</v>
      </c>
      <c r="J474" s="11" t="n">
        <f aca="false">E474-F474</f>
        <v>2000</v>
      </c>
      <c r="K474" s="10" t="str">
        <f aca="false">IF(G474&lt;0.2,"0-19%",IF(G474&lt;0.4,"20-39%",IF(G474&lt;0.6,"40-59%",IF(G474&lt;0.8,"60-79%","80%+"))))</f>
        <v>0-19%</v>
      </c>
      <c r="L474" s="10" t="str">
        <f aca="false">IF(H474="","No rating",IF(H474&lt;3.5,"Below 3.5",IF(H474&lt;4,"3.5-3.9",IF(H474&lt;4.5,"4.0-4.4","4.5+"))))</f>
        <v>3.5-3.9</v>
      </c>
    </row>
    <row r="475" customFormat="false" ht="15" hidden="false" customHeight="false" outlineLevel="0" collapsed="false">
      <c r="A475" s="10" t="s">
        <v>964</v>
      </c>
      <c r="B475" s="10" t="s">
        <v>965</v>
      </c>
      <c r="C475" s="10" t="s">
        <v>48</v>
      </c>
      <c r="D475" s="10" t="s">
        <v>693</v>
      </c>
      <c r="E475" s="11" t="n">
        <v>4999</v>
      </c>
      <c r="F475" s="11" t="n">
        <v>1999</v>
      </c>
      <c r="G475" s="12" t="n">
        <v>0.6</v>
      </c>
      <c r="H475" s="13" t="n">
        <v>3.9</v>
      </c>
      <c r="I475" s="11" t="n">
        <v>7571</v>
      </c>
      <c r="J475" s="11" t="n">
        <f aca="false">E475-F475</f>
        <v>3000</v>
      </c>
      <c r="K475" s="10" t="str">
        <f aca="false">IF(G475&lt;0.2,"0-19%",IF(G475&lt;0.4,"20-39%",IF(G475&lt;0.6,"40-59%",IF(G475&lt;0.8,"60-79%","80%+"))))</f>
        <v>60-79%</v>
      </c>
      <c r="L475" s="10" t="str">
        <f aca="false">IF(H475="","No rating",IF(H475&lt;3.5,"Below 3.5",IF(H475&lt;4,"3.5-3.9",IF(H475&lt;4.5,"4.0-4.4","4.5+"))))</f>
        <v>3.5-3.9</v>
      </c>
    </row>
    <row r="476" customFormat="false" ht="15" hidden="false" customHeight="false" outlineLevel="0" collapsed="false">
      <c r="A476" s="10" t="s">
        <v>966</v>
      </c>
      <c r="B476" s="10" t="s">
        <v>967</v>
      </c>
      <c r="C476" s="10" t="s">
        <v>48</v>
      </c>
      <c r="D476" s="10" t="s">
        <v>693</v>
      </c>
      <c r="E476" s="11" t="n">
        <v>5999</v>
      </c>
      <c r="F476" s="11" t="n">
        <v>1399</v>
      </c>
      <c r="G476" s="12" t="n">
        <v>0.77</v>
      </c>
      <c r="H476" s="13" t="n">
        <v>3.3</v>
      </c>
      <c r="I476" s="11" t="n">
        <v>4415</v>
      </c>
      <c r="J476" s="11" t="n">
        <f aca="false">E476-F476</f>
        <v>4600</v>
      </c>
      <c r="K476" s="10" t="str">
        <f aca="false">IF(G476&lt;0.2,"0-19%",IF(G476&lt;0.4,"20-39%",IF(G476&lt;0.6,"40-59%",IF(G476&lt;0.8,"60-79%","80%+"))))</f>
        <v>60-79%</v>
      </c>
      <c r="L476" s="10" t="str">
        <f aca="false">IF(H476="","No rating",IF(H476&lt;3.5,"Below 3.5",IF(H476&lt;4,"3.5-3.9",IF(H476&lt;4.5,"4.0-4.4","4.5+"))))</f>
        <v>Below 3.5</v>
      </c>
    </row>
    <row r="477" customFormat="false" ht="15" hidden="false" customHeight="false" outlineLevel="0" collapsed="false">
      <c r="A477" s="10" t="s">
        <v>968</v>
      </c>
      <c r="B477" s="10" t="s">
        <v>969</v>
      </c>
      <c r="C477" s="10" t="s">
        <v>48</v>
      </c>
      <c r="D477" s="10" t="s">
        <v>700</v>
      </c>
      <c r="E477" s="11" t="n">
        <v>999</v>
      </c>
      <c r="F477" s="11" t="n">
        <v>599</v>
      </c>
      <c r="G477" s="12" t="n">
        <v>0.4</v>
      </c>
      <c r="H477" s="13" t="n">
        <v>4</v>
      </c>
      <c r="I477" s="11" t="n">
        <v>18654</v>
      </c>
      <c r="J477" s="11" t="n">
        <f aca="false">E477-F477</f>
        <v>400</v>
      </c>
      <c r="K477" s="10" t="str">
        <f aca="false">IF(G477&lt;0.2,"0-19%",IF(G477&lt;0.4,"20-39%",IF(G477&lt;0.6,"40-59%",IF(G477&lt;0.8,"60-79%","80%+"))))</f>
        <v>40-59%</v>
      </c>
      <c r="L477" s="10" t="str">
        <f aca="false">IF(H477="","No rating",IF(H477&lt;3.5,"Below 3.5",IF(H477&lt;4,"3.5-3.9",IF(H477&lt;4.5,"4.0-4.4","4.5+"))))</f>
        <v>4.0-4.4</v>
      </c>
    </row>
    <row r="478" customFormat="false" ht="15" hidden="false" customHeight="false" outlineLevel="0" collapsed="false">
      <c r="A478" s="10" t="s">
        <v>970</v>
      </c>
      <c r="B478" s="10" t="s">
        <v>971</v>
      </c>
      <c r="C478" s="10" t="s">
        <v>48</v>
      </c>
      <c r="D478" s="10" t="s">
        <v>700</v>
      </c>
      <c r="E478" s="11" t="n">
        <v>1099</v>
      </c>
      <c r="F478" s="11" t="n">
        <v>199</v>
      </c>
      <c r="G478" s="12" t="n">
        <v>0.82</v>
      </c>
      <c r="H478" s="13" t="n">
        <v>4</v>
      </c>
      <c r="I478" s="11" t="n">
        <v>3197</v>
      </c>
      <c r="J478" s="11" t="n">
        <f aca="false">E478-F478</f>
        <v>900</v>
      </c>
      <c r="K478" s="10" t="str">
        <f aca="false">IF(G478&lt;0.2,"0-19%",IF(G478&lt;0.4,"20-39%",IF(G478&lt;0.6,"40-59%",IF(G478&lt;0.8,"60-79%","80%+"))))</f>
        <v>80%+</v>
      </c>
      <c r="L478" s="10" t="str">
        <f aca="false">IF(H478="","No rating",IF(H478&lt;3.5,"Below 3.5",IF(H478&lt;4,"3.5-3.9",IF(H478&lt;4.5,"4.0-4.4","4.5+"))))</f>
        <v>4.0-4.4</v>
      </c>
    </row>
    <row r="479" customFormat="false" ht="15" hidden="false" customHeight="false" outlineLevel="0" collapsed="false">
      <c r="A479" s="10" t="s">
        <v>972</v>
      </c>
      <c r="B479" s="10" t="s">
        <v>973</v>
      </c>
      <c r="C479" s="10" t="s">
        <v>48</v>
      </c>
      <c r="D479" s="10" t="s">
        <v>693</v>
      </c>
      <c r="E479" s="11" t="n">
        <v>6990</v>
      </c>
      <c r="F479" s="11" t="n">
        <v>1799</v>
      </c>
      <c r="G479" s="12" t="n">
        <v>0.74</v>
      </c>
      <c r="H479" s="13" t="n">
        <v>4</v>
      </c>
      <c r="I479" s="11" t="n">
        <v>26880</v>
      </c>
      <c r="J479" s="11" t="n">
        <f aca="false">E479-F479</f>
        <v>5191</v>
      </c>
      <c r="K479" s="10" t="str">
        <f aca="false">IF(G479&lt;0.2,"0-19%",IF(G479&lt;0.4,"20-39%",IF(G479&lt;0.6,"40-59%",IF(G479&lt;0.8,"60-79%","80%+"))))</f>
        <v>60-79%</v>
      </c>
      <c r="L479" s="10" t="str">
        <f aca="false">IF(H479="","No rating",IF(H479&lt;3.5,"Below 3.5",IF(H479&lt;4,"3.5-3.9",IF(H479&lt;4.5,"4.0-4.4","4.5+"))))</f>
        <v>4.0-4.4</v>
      </c>
    </row>
    <row r="480" customFormat="false" ht="15" hidden="false" customHeight="false" outlineLevel="0" collapsed="false">
      <c r="A480" s="10" t="s">
        <v>974</v>
      </c>
      <c r="B480" s="10" t="s">
        <v>975</v>
      </c>
      <c r="C480" s="10" t="s">
        <v>48</v>
      </c>
      <c r="D480" s="10" t="s">
        <v>693</v>
      </c>
      <c r="E480" s="11" t="n">
        <v>6990</v>
      </c>
      <c r="F480" s="11" t="n">
        <v>1499</v>
      </c>
      <c r="G480" s="12" t="n">
        <v>0.79</v>
      </c>
      <c r="H480" s="13" t="n">
        <v>3.9</v>
      </c>
      <c r="I480" s="11" t="n">
        <v>21796</v>
      </c>
      <c r="J480" s="11" t="n">
        <f aca="false">E480-F480</f>
        <v>5491</v>
      </c>
      <c r="K480" s="10" t="str">
        <f aca="false">IF(G480&lt;0.2,"0-19%",IF(G480&lt;0.4,"20-39%",IF(G480&lt;0.6,"40-59%",IF(G480&lt;0.8,"60-79%","80%+"))))</f>
        <v>60-79%</v>
      </c>
      <c r="L480" s="10" t="str">
        <f aca="false">IF(H480="","No rating",IF(H480&lt;3.5,"Below 3.5",IF(H480&lt;4,"3.5-3.9",IF(H480&lt;4.5,"4.0-4.4","4.5+"))))</f>
        <v>3.5-3.9</v>
      </c>
    </row>
    <row r="481" customFormat="false" ht="15" hidden="false" customHeight="false" outlineLevel="0" collapsed="false">
      <c r="A481" s="10" t="s">
        <v>976</v>
      </c>
      <c r="B481" s="10" t="s">
        <v>977</v>
      </c>
      <c r="C481" s="10" t="s">
        <v>48</v>
      </c>
      <c r="D481" s="10" t="s">
        <v>700</v>
      </c>
      <c r="E481" s="11" t="n">
        <v>29990</v>
      </c>
      <c r="F481" s="11" t="n">
        <v>20999</v>
      </c>
      <c r="G481" s="12" t="n">
        <v>0.3</v>
      </c>
      <c r="H481" s="13" t="n">
        <v>4.3</v>
      </c>
      <c r="I481" s="11" t="n">
        <v>9499</v>
      </c>
      <c r="J481" s="11" t="n">
        <f aca="false">E481-F481</f>
        <v>8991</v>
      </c>
      <c r="K481" s="10" t="str">
        <f aca="false">IF(G481&lt;0.2,"0-19%",IF(G481&lt;0.4,"20-39%",IF(G481&lt;0.6,"40-59%",IF(G481&lt;0.8,"60-79%","80%+"))))</f>
        <v>20-39%</v>
      </c>
      <c r="L481" s="10" t="str">
        <f aca="false">IF(H481="","No rating",IF(H481&lt;3.5,"Below 3.5",IF(H481&lt;4,"3.5-3.9",IF(H481&lt;4.5,"4.0-4.4","4.5+"))))</f>
        <v>4.0-4.4</v>
      </c>
    </row>
    <row r="482" customFormat="false" ht="15" hidden="false" customHeight="false" outlineLevel="0" collapsed="false">
      <c r="A482" s="10" t="s">
        <v>978</v>
      </c>
      <c r="B482" s="10" t="s">
        <v>979</v>
      </c>
      <c r="C482" s="10" t="s">
        <v>48</v>
      </c>
      <c r="D482" s="10" t="s">
        <v>700</v>
      </c>
      <c r="E482" s="11" t="n">
        <v>13499</v>
      </c>
      <c r="F482" s="11" t="n">
        <v>12999</v>
      </c>
      <c r="G482" s="12" t="n">
        <v>0.04</v>
      </c>
      <c r="H482" s="13" t="n">
        <v>4.1</v>
      </c>
      <c r="I482" s="11" t="n">
        <v>56098</v>
      </c>
      <c r="J482" s="11" t="n">
        <f aca="false">E482-F482</f>
        <v>500</v>
      </c>
      <c r="K482" s="10" t="str">
        <f aca="false">IF(G482&lt;0.2,"0-19%",IF(G482&lt;0.4,"20-39%",IF(G482&lt;0.6,"40-59%",IF(G482&lt;0.8,"60-79%","80%+"))))</f>
        <v>0-19%</v>
      </c>
      <c r="L482" s="10" t="str">
        <f aca="false">IF(H482="","No rating",IF(H482&lt;3.5,"Below 3.5",IF(H482&lt;4,"3.5-3.9",IF(H482&lt;4.5,"4.0-4.4","4.5+"))))</f>
        <v>4.0-4.4</v>
      </c>
    </row>
    <row r="483" customFormat="false" ht="15" hidden="false" customHeight="false" outlineLevel="0" collapsed="false">
      <c r="A483" s="10" t="s">
        <v>980</v>
      </c>
      <c r="B483" s="10" t="s">
        <v>981</v>
      </c>
      <c r="C483" s="10" t="s">
        <v>48</v>
      </c>
      <c r="D483" s="10" t="s">
        <v>700</v>
      </c>
      <c r="E483" s="11" t="n">
        <v>20999</v>
      </c>
      <c r="F483" s="11" t="n">
        <v>16999</v>
      </c>
      <c r="G483" s="12" t="n">
        <v>0.19</v>
      </c>
      <c r="H483" s="13" t="n">
        <v>4.1</v>
      </c>
      <c r="I483" s="11" t="n">
        <v>31822</v>
      </c>
      <c r="J483" s="11" t="n">
        <f aca="false">E483-F483</f>
        <v>4000</v>
      </c>
      <c r="K483" s="10" t="str">
        <f aca="false">IF(G483&lt;0.2,"0-19%",IF(G483&lt;0.4,"20-39%",IF(G483&lt;0.6,"40-59%",IF(G483&lt;0.8,"60-79%","80%+"))))</f>
        <v>0-19%</v>
      </c>
      <c r="L483" s="10" t="str">
        <f aca="false">IF(H483="","No rating",IF(H483&lt;3.5,"Below 3.5",IF(H483&lt;4,"3.5-3.9",IF(H483&lt;4.5,"4.0-4.4","4.5+"))))</f>
        <v>4.0-4.4</v>
      </c>
    </row>
    <row r="484" customFormat="false" ht="15" hidden="false" customHeight="false" outlineLevel="0" collapsed="false">
      <c r="A484" s="10" t="s">
        <v>982</v>
      </c>
      <c r="B484" s="10" t="s">
        <v>983</v>
      </c>
      <c r="C484" s="10" t="s">
        <v>48</v>
      </c>
      <c r="D484" s="10" t="s">
        <v>700</v>
      </c>
      <c r="E484" s="11" t="n">
        <v>27990</v>
      </c>
      <c r="F484" s="11" t="n">
        <v>19999</v>
      </c>
      <c r="G484" s="12" t="n">
        <v>0.29</v>
      </c>
      <c r="H484" s="13" t="n">
        <v>4.3</v>
      </c>
      <c r="I484" s="11" t="n">
        <v>9499</v>
      </c>
      <c r="J484" s="11" t="n">
        <f aca="false">E484-F484</f>
        <v>7991</v>
      </c>
      <c r="K484" s="10" t="str">
        <f aca="false">IF(G484&lt;0.2,"0-19%",IF(G484&lt;0.4,"20-39%",IF(G484&lt;0.6,"40-59%",IF(G484&lt;0.8,"60-79%","80%+"))))</f>
        <v>20-39%</v>
      </c>
      <c r="L484" s="10" t="str">
        <f aca="false">IF(H484="","No rating",IF(H484&lt;3.5,"Below 3.5",IF(H484&lt;4,"3.5-3.9",IF(H484&lt;4.5,"4.0-4.4","4.5+"))))</f>
        <v>4.0-4.4</v>
      </c>
    </row>
    <row r="485" customFormat="false" ht="15" hidden="false" customHeight="false" outlineLevel="0" collapsed="false">
      <c r="A485" s="10" t="s">
        <v>984</v>
      </c>
      <c r="B485" s="10" t="s">
        <v>985</v>
      </c>
      <c r="C485" s="10" t="s">
        <v>48</v>
      </c>
      <c r="D485" s="10" t="s">
        <v>700</v>
      </c>
      <c r="E485" s="11" t="n">
        <v>18999</v>
      </c>
      <c r="F485" s="11" t="n">
        <v>12999</v>
      </c>
      <c r="G485" s="12" t="n">
        <v>0.32</v>
      </c>
      <c r="H485" s="13" t="n">
        <v>4.1</v>
      </c>
      <c r="I485" s="11" t="n">
        <v>50772</v>
      </c>
      <c r="J485" s="11" t="n">
        <f aca="false">E485-F485</f>
        <v>6000</v>
      </c>
      <c r="K485" s="10" t="str">
        <f aca="false">IF(G485&lt;0.2,"0-19%",IF(G485&lt;0.4,"20-39%",IF(G485&lt;0.6,"40-59%",IF(G485&lt;0.8,"60-79%","80%+"))))</f>
        <v>20-39%</v>
      </c>
      <c r="L485" s="10" t="str">
        <f aca="false">IF(H485="","No rating",IF(H485&lt;3.5,"Below 3.5",IF(H485&lt;4,"3.5-3.9",IF(H485&lt;4.5,"4.0-4.4","4.5+"))))</f>
        <v>4.0-4.4</v>
      </c>
    </row>
    <row r="486" customFormat="false" ht="15" hidden="false" customHeight="false" outlineLevel="0" collapsed="false">
      <c r="A486" s="10" t="s">
        <v>986</v>
      </c>
      <c r="B486" s="10" t="s">
        <v>987</v>
      </c>
      <c r="C486" s="10" t="s">
        <v>48</v>
      </c>
      <c r="D486" s="10" t="s">
        <v>693</v>
      </c>
      <c r="E486" s="11" t="n">
        <v>5999</v>
      </c>
      <c r="F486" s="11" t="n">
        <v>2999</v>
      </c>
      <c r="G486" s="12" t="n">
        <v>0.5</v>
      </c>
      <c r="H486" s="13" t="n">
        <v>4.1</v>
      </c>
      <c r="I486" s="11" t="n">
        <v>7148</v>
      </c>
      <c r="J486" s="11" t="n">
        <f aca="false">E486-F486</f>
        <v>3000</v>
      </c>
      <c r="K486" s="10" t="str">
        <f aca="false">IF(G486&lt;0.2,"0-19%",IF(G486&lt;0.4,"20-39%",IF(G486&lt;0.6,"40-59%",IF(G486&lt;0.8,"60-79%","80%+"))))</f>
        <v>40-59%</v>
      </c>
      <c r="L486" s="10" t="str">
        <f aca="false">IF(H486="","No rating",IF(H486&lt;3.5,"Below 3.5",IF(H486&lt;4,"3.5-3.9",IF(H486&lt;4.5,"4.0-4.4","4.5+"))))</f>
        <v>4.0-4.4</v>
      </c>
    </row>
    <row r="487" customFormat="false" ht="15" hidden="false" customHeight="false" outlineLevel="0" collapsed="false">
      <c r="A487" s="10" t="s">
        <v>988</v>
      </c>
      <c r="B487" s="10" t="s">
        <v>989</v>
      </c>
      <c r="C487" s="10" t="s">
        <v>48</v>
      </c>
      <c r="D487" s="10" t="s">
        <v>700</v>
      </c>
      <c r="E487" s="11" t="n">
        <v>999</v>
      </c>
      <c r="F487" s="11" t="n">
        <v>329</v>
      </c>
      <c r="G487" s="12" t="n">
        <v>0.67</v>
      </c>
      <c r="H487" s="13" t="n">
        <v>4.2</v>
      </c>
      <c r="I487" s="11" t="n">
        <v>3492</v>
      </c>
      <c r="J487" s="11" t="n">
        <f aca="false">E487-F487</f>
        <v>670</v>
      </c>
      <c r="K487" s="10" t="str">
        <f aca="false">IF(G487&lt;0.2,"0-19%",IF(G487&lt;0.4,"20-39%",IF(G487&lt;0.6,"40-59%",IF(G487&lt;0.8,"60-79%","80%+"))))</f>
        <v>60-79%</v>
      </c>
      <c r="L487" s="10" t="str">
        <f aca="false">IF(H487="","No rating",IF(H487&lt;3.5,"Below 3.5",IF(H487&lt;4,"3.5-3.9",IF(H487&lt;4.5,"4.0-4.4","4.5+"))))</f>
        <v>4.0-4.4</v>
      </c>
    </row>
    <row r="488" customFormat="false" ht="15" hidden="false" customHeight="false" outlineLevel="0" collapsed="false">
      <c r="A488" s="10" t="s">
        <v>990</v>
      </c>
      <c r="B488" s="10" t="s">
        <v>991</v>
      </c>
      <c r="C488" s="10" t="s">
        <v>48</v>
      </c>
      <c r="D488" s="10" t="s">
        <v>693</v>
      </c>
      <c r="E488" s="11" t="n">
        <v>5999</v>
      </c>
      <c r="F488" s="11" t="n">
        <v>1299</v>
      </c>
      <c r="G488" s="12" t="n">
        <v>0.78</v>
      </c>
      <c r="H488" s="13" t="n">
        <v>3.3</v>
      </c>
      <c r="I488" s="11" t="n">
        <v>4415</v>
      </c>
      <c r="J488" s="11" t="n">
        <f aca="false">E488-F488</f>
        <v>4700</v>
      </c>
      <c r="K488" s="10" t="str">
        <f aca="false">IF(G488&lt;0.2,"0-19%",IF(G488&lt;0.4,"20-39%",IF(G488&lt;0.6,"40-59%",IF(G488&lt;0.8,"60-79%","80%+"))))</f>
        <v>60-79%</v>
      </c>
      <c r="L488" s="10" t="str">
        <f aca="false">IF(H488="","No rating",IF(H488&lt;3.5,"Below 3.5",IF(H488&lt;4,"3.5-3.9",IF(H488&lt;4.5,"4.0-4.4","4.5+"))))</f>
        <v>Below 3.5</v>
      </c>
    </row>
    <row r="489" customFormat="false" ht="15" hidden="false" customHeight="false" outlineLevel="0" collapsed="false">
      <c r="A489" s="10" t="s">
        <v>992</v>
      </c>
      <c r="B489" s="10" t="s">
        <v>993</v>
      </c>
      <c r="C489" s="10" t="s">
        <v>48</v>
      </c>
      <c r="D489" s="10" t="s">
        <v>713</v>
      </c>
      <c r="E489" s="11" t="n">
        <v>3500</v>
      </c>
      <c r="F489" s="11" t="n">
        <v>1989</v>
      </c>
      <c r="G489" s="12" t="n">
        <v>0.43</v>
      </c>
      <c r="H489" s="13" t="n">
        <v>4.4</v>
      </c>
      <c r="I489" s="11" t="n">
        <v>67260</v>
      </c>
      <c r="J489" s="11" t="n">
        <f aca="false">E489-F489</f>
        <v>1511</v>
      </c>
      <c r="K489" s="10" t="str">
        <f aca="false">IF(G489&lt;0.2,"0-19%",IF(G489&lt;0.4,"20-39%",IF(G489&lt;0.6,"40-59%",IF(G489&lt;0.8,"60-79%","80%+"))))</f>
        <v>40-59%</v>
      </c>
      <c r="L489" s="10" t="str">
        <f aca="false">IF(H489="","No rating",IF(H489&lt;3.5,"Below 3.5",IF(H489&lt;4,"3.5-3.9",IF(H489&lt;4.5,"4.0-4.4","4.5+"))))</f>
        <v>4.0-4.4</v>
      </c>
    </row>
    <row r="490" customFormat="false" ht="15" hidden="false" customHeight="false" outlineLevel="0" collapsed="false">
      <c r="A490" s="10" t="s">
        <v>994</v>
      </c>
      <c r="B490" s="10" t="s">
        <v>695</v>
      </c>
      <c r="C490" s="10" t="s">
        <v>48</v>
      </c>
      <c r="D490" s="10" t="s">
        <v>693</v>
      </c>
      <c r="E490" s="11" t="n">
        <v>9999</v>
      </c>
      <c r="F490" s="11" t="n">
        <v>1999</v>
      </c>
      <c r="G490" s="12" t="n">
        <v>0.8</v>
      </c>
      <c r="H490" s="13" t="n">
        <v>4.3</v>
      </c>
      <c r="I490" s="11" t="n">
        <v>27704</v>
      </c>
      <c r="J490" s="11" t="n">
        <f aca="false">E490-F490</f>
        <v>8000</v>
      </c>
      <c r="K490" s="10" t="str">
        <f aca="false">IF(G490&lt;0.2,"0-19%",IF(G490&lt;0.4,"20-39%",IF(G490&lt;0.6,"40-59%",IF(G490&lt;0.8,"60-79%","80%+"))))</f>
        <v>80%+</v>
      </c>
      <c r="L490" s="10" t="str">
        <f aca="false">IF(H490="","No rating",IF(H490&lt;3.5,"Below 3.5",IF(H490&lt;4,"3.5-3.9",IF(H490&lt;4.5,"4.0-4.4","4.5+"))))</f>
        <v>4.0-4.4</v>
      </c>
    </row>
    <row r="491" customFormat="false" ht="15" hidden="false" customHeight="false" outlineLevel="0" collapsed="false">
      <c r="A491" s="10" t="s">
        <v>995</v>
      </c>
      <c r="B491" s="10" t="s">
        <v>996</v>
      </c>
      <c r="C491" s="10" t="s">
        <v>48</v>
      </c>
      <c r="D491" s="10" t="s">
        <v>700</v>
      </c>
      <c r="E491" s="11" t="n">
        <v>18999</v>
      </c>
      <c r="F491" s="11" t="n">
        <v>12999</v>
      </c>
      <c r="G491" s="12" t="n">
        <v>0.32</v>
      </c>
      <c r="H491" s="13" t="n">
        <v>4.1</v>
      </c>
      <c r="I491" s="11" t="n">
        <v>50772</v>
      </c>
      <c r="J491" s="11" t="n">
        <f aca="false">E491-F491</f>
        <v>6000</v>
      </c>
      <c r="K491" s="10" t="str">
        <f aca="false">IF(G491&lt;0.2,"0-19%",IF(G491&lt;0.4,"20-39%",IF(G491&lt;0.6,"40-59%",IF(G491&lt;0.8,"60-79%","80%+"))))</f>
        <v>20-39%</v>
      </c>
      <c r="L491" s="10" t="str">
        <f aca="false">IF(H491="","No rating",IF(H491&lt;3.5,"Below 3.5",IF(H491&lt;4,"3.5-3.9",IF(H491&lt;4.5,"4.0-4.4","4.5+"))))</f>
        <v>4.0-4.4</v>
      </c>
    </row>
    <row r="492" customFormat="false" ht="15" hidden="false" customHeight="false" outlineLevel="0" collapsed="false">
      <c r="A492" s="10" t="s">
        <v>997</v>
      </c>
      <c r="B492" s="10" t="s">
        <v>998</v>
      </c>
      <c r="C492" s="10" t="s">
        <v>48</v>
      </c>
      <c r="D492" s="10" t="s">
        <v>693</v>
      </c>
      <c r="E492" s="11" t="n">
        <v>4999</v>
      </c>
      <c r="F492" s="11" t="n">
        <v>1499</v>
      </c>
      <c r="G492" s="12" t="n">
        <v>0.7</v>
      </c>
      <c r="H492" s="13" t="n">
        <v>4</v>
      </c>
      <c r="I492" s="11" t="n">
        <v>92588</v>
      </c>
      <c r="J492" s="11" t="n">
        <f aca="false">E492-F492</f>
        <v>3500</v>
      </c>
      <c r="K492" s="10" t="str">
        <f aca="false">IF(G492&lt;0.2,"0-19%",IF(G492&lt;0.4,"20-39%",IF(G492&lt;0.6,"40-59%",IF(G492&lt;0.8,"60-79%","80%+"))))</f>
        <v>60-79%</v>
      </c>
      <c r="L492" s="10" t="str">
        <f aca="false">IF(H492="","No rating",IF(H492&lt;3.5,"Below 3.5",IF(H492&lt;4,"3.5-3.9",IF(H492&lt;4.5,"4.0-4.4","4.5+"))))</f>
        <v>4.0-4.4</v>
      </c>
    </row>
    <row r="493" customFormat="false" ht="15" hidden="false" customHeight="false" outlineLevel="0" collapsed="false">
      <c r="A493" s="10" t="s">
        <v>999</v>
      </c>
      <c r="B493" s="10" t="s">
        <v>1000</v>
      </c>
      <c r="C493" s="10" t="s">
        <v>48</v>
      </c>
      <c r="D493" s="10" t="s">
        <v>700</v>
      </c>
      <c r="E493" s="11" t="n">
        <v>20999</v>
      </c>
      <c r="F493" s="11" t="n">
        <v>16999</v>
      </c>
      <c r="G493" s="12" t="n">
        <v>0.19</v>
      </c>
      <c r="H493" s="13" t="n">
        <v>4.1</v>
      </c>
      <c r="I493" s="11" t="n">
        <v>31822</v>
      </c>
      <c r="J493" s="11" t="n">
        <f aca="false">E493-F493</f>
        <v>4000</v>
      </c>
      <c r="K493" s="10" t="str">
        <f aca="false">IF(G493&lt;0.2,"0-19%",IF(G493&lt;0.4,"20-39%",IF(G493&lt;0.6,"40-59%",IF(G493&lt;0.8,"60-79%","80%+"))))</f>
        <v>0-19%</v>
      </c>
      <c r="L493" s="10" t="str">
        <f aca="false">IF(H493="","No rating",IF(H493&lt;3.5,"Below 3.5",IF(H493&lt;4,"3.5-3.9",IF(H493&lt;4.5,"4.0-4.4","4.5+"))))</f>
        <v>4.0-4.4</v>
      </c>
    </row>
    <row r="494" customFormat="false" ht="15" hidden="false" customHeight="false" outlineLevel="0" collapsed="false">
      <c r="A494" s="10" t="s">
        <v>1001</v>
      </c>
      <c r="B494" s="10" t="s">
        <v>1002</v>
      </c>
      <c r="C494" s="10" t="s">
        <v>48</v>
      </c>
      <c r="D494" s="10" t="s">
        <v>693</v>
      </c>
      <c r="E494" s="11" t="n">
        <v>8499</v>
      </c>
      <c r="F494" s="11" t="n">
        <v>1999</v>
      </c>
      <c r="G494" s="12" t="n">
        <v>0.76</v>
      </c>
      <c r="H494" s="13" t="n">
        <v>4.3</v>
      </c>
      <c r="I494" s="11" t="n">
        <v>240</v>
      </c>
      <c r="J494" s="11" t="n">
        <f aca="false">E494-F494</f>
        <v>6500</v>
      </c>
      <c r="K494" s="10" t="str">
        <f aca="false">IF(G494&lt;0.2,"0-19%",IF(G494&lt;0.4,"20-39%",IF(G494&lt;0.6,"40-59%",IF(G494&lt;0.8,"60-79%","80%+"))))</f>
        <v>60-79%</v>
      </c>
      <c r="L494" s="10" t="str">
        <f aca="false">IF(H494="","No rating",IF(H494&lt;3.5,"Below 3.5",IF(H494&lt;4,"3.5-3.9",IF(H494&lt;4.5,"4.0-4.4","4.5+"))))</f>
        <v>4.0-4.4</v>
      </c>
    </row>
    <row r="495" customFormat="false" ht="15" hidden="false" customHeight="false" outlineLevel="0" collapsed="false">
      <c r="A495" s="10" t="s">
        <v>1003</v>
      </c>
      <c r="B495" s="10" t="s">
        <v>1004</v>
      </c>
      <c r="C495" s="10" t="s">
        <v>48</v>
      </c>
      <c r="D495" s="10" t="s">
        <v>693</v>
      </c>
      <c r="E495" s="11" t="n">
        <v>6999</v>
      </c>
      <c r="F495" s="11" t="n">
        <v>4999</v>
      </c>
      <c r="G495" s="12" t="n">
        <v>0.29</v>
      </c>
      <c r="H495" s="13" t="n">
        <v>3.8</v>
      </c>
      <c r="I495" s="11" t="n">
        <v>758</v>
      </c>
      <c r="J495" s="11" t="n">
        <f aca="false">E495-F495</f>
        <v>2000</v>
      </c>
      <c r="K495" s="10" t="str">
        <f aca="false">IF(G495&lt;0.2,"0-19%",IF(G495&lt;0.4,"20-39%",IF(G495&lt;0.6,"40-59%",IF(G495&lt;0.8,"60-79%","80%+"))))</f>
        <v>20-39%</v>
      </c>
      <c r="L495" s="10" t="str">
        <f aca="false">IF(H495="","No rating",IF(H495&lt;3.5,"Below 3.5",IF(H495&lt;4,"3.5-3.9",IF(H495&lt;4.5,"4.0-4.4","4.5+"))))</f>
        <v>3.5-3.9</v>
      </c>
    </row>
    <row r="496" customFormat="false" ht="15" hidden="false" customHeight="false" outlineLevel="0" collapsed="false">
      <c r="A496" s="10" t="s">
        <v>1005</v>
      </c>
      <c r="B496" s="10" t="s">
        <v>1006</v>
      </c>
      <c r="C496" s="10" t="s">
        <v>48</v>
      </c>
      <c r="D496" s="10" t="s">
        <v>693</v>
      </c>
      <c r="E496" s="11" t="n">
        <v>5999</v>
      </c>
      <c r="F496" s="11" t="n">
        <v>2499</v>
      </c>
      <c r="G496" s="12" t="n">
        <v>0.58</v>
      </c>
      <c r="H496" s="13" t="n">
        <v>3.7</v>
      </c>
      <c r="I496" s="11" t="n">
        <v>828</v>
      </c>
      <c r="J496" s="11" t="n">
        <f aca="false">E496-F496</f>
        <v>3500</v>
      </c>
      <c r="K496" s="10" t="str">
        <f aca="false">IF(G496&lt;0.2,"0-19%",IF(G496&lt;0.4,"20-39%",IF(G496&lt;0.6,"40-59%",IF(G496&lt;0.8,"60-79%","80%+"))))</f>
        <v>40-59%</v>
      </c>
      <c r="L496" s="10" t="str">
        <f aca="false">IF(H496="","No rating",IF(H496&lt;3.5,"Below 3.5",IF(H496&lt;4,"3.5-3.9",IF(H496&lt;4.5,"4.0-4.4","4.5+"))))</f>
        <v>3.5-3.9</v>
      </c>
    </row>
    <row r="497" customFormat="false" ht="15" hidden="false" customHeight="false" outlineLevel="0" collapsed="false">
      <c r="A497" s="10" t="s">
        <v>1007</v>
      </c>
      <c r="B497" s="10" t="s">
        <v>1008</v>
      </c>
      <c r="C497" s="10" t="s">
        <v>48</v>
      </c>
      <c r="D497" s="10" t="s">
        <v>700</v>
      </c>
      <c r="E497" s="11" t="n">
        <v>1630</v>
      </c>
      <c r="F497" s="11" t="n">
        <v>1399</v>
      </c>
      <c r="G497" s="12" t="n">
        <v>0.14</v>
      </c>
      <c r="H497" s="13" t="n">
        <v>4</v>
      </c>
      <c r="I497" s="11" t="n">
        <v>9378</v>
      </c>
      <c r="J497" s="11" t="n">
        <f aca="false">E497-F497</f>
        <v>231</v>
      </c>
      <c r="K497" s="10" t="str">
        <f aca="false">IF(G497&lt;0.2,"0-19%",IF(G497&lt;0.4,"20-39%",IF(G497&lt;0.6,"40-59%",IF(G497&lt;0.8,"60-79%","80%+"))))</f>
        <v>0-19%</v>
      </c>
      <c r="L497" s="10" t="str">
        <f aca="false">IF(H497="","No rating",IF(H497&lt;3.5,"Below 3.5",IF(H497&lt;4,"3.5-3.9",IF(H497&lt;4.5,"4.0-4.4","4.5+"))))</f>
        <v>4.0-4.4</v>
      </c>
    </row>
    <row r="498" customFormat="false" ht="15" hidden="false" customHeight="false" outlineLevel="0" collapsed="false">
      <c r="A498" s="10" t="s">
        <v>1009</v>
      </c>
      <c r="B498" s="10" t="s">
        <v>1010</v>
      </c>
      <c r="C498" s="10" t="s">
        <v>48</v>
      </c>
      <c r="D498" s="10" t="s">
        <v>693</v>
      </c>
      <c r="E498" s="11" t="n">
        <v>9999</v>
      </c>
      <c r="F498" s="11" t="n">
        <v>1499</v>
      </c>
      <c r="G498" s="12" t="n">
        <v>0.85</v>
      </c>
      <c r="H498" s="13" t="n">
        <v>4.2</v>
      </c>
      <c r="I498" s="11" t="n">
        <v>22638</v>
      </c>
      <c r="J498" s="11" t="n">
        <f aca="false">E498-F498</f>
        <v>8500</v>
      </c>
      <c r="K498" s="10" t="str">
        <f aca="false">IF(G498&lt;0.2,"0-19%",IF(G498&lt;0.4,"20-39%",IF(G498&lt;0.6,"40-59%",IF(G498&lt;0.8,"60-79%","80%+"))))</f>
        <v>80%+</v>
      </c>
      <c r="L498" s="10" t="str">
        <f aca="false">IF(H498="","No rating",IF(H498&lt;3.5,"Below 3.5",IF(H498&lt;4,"3.5-3.9",IF(H498&lt;4.5,"4.0-4.4","4.5+"))))</f>
        <v>4.0-4.4</v>
      </c>
    </row>
    <row r="499" customFormat="false" ht="15" hidden="false" customHeight="false" outlineLevel="0" collapsed="false">
      <c r="A499" s="10" t="s">
        <v>1011</v>
      </c>
      <c r="B499" s="10" t="s">
        <v>1012</v>
      </c>
      <c r="C499" s="10" t="s">
        <v>48</v>
      </c>
      <c r="D499" s="10" t="s">
        <v>700</v>
      </c>
      <c r="E499" s="11" t="n">
        <v>599</v>
      </c>
      <c r="F499" s="11" t="n">
        <v>249</v>
      </c>
      <c r="G499" s="12" t="n">
        <v>0.58</v>
      </c>
      <c r="H499" s="13" t="n">
        <v>3.9</v>
      </c>
      <c r="I499" s="11" t="n">
        <v>2147</v>
      </c>
      <c r="J499" s="11" t="n">
        <f aca="false">E499-F499</f>
        <v>350</v>
      </c>
      <c r="K499" s="10" t="str">
        <f aca="false">IF(G499&lt;0.2,"0-19%",IF(G499&lt;0.4,"20-39%",IF(G499&lt;0.6,"40-59%",IF(G499&lt;0.8,"60-79%","80%+"))))</f>
        <v>40-59%</v>
      </c>
      <c r="L499" s="10" t="str">
        <f aca="false">IF(H499="","No rating",IF(H499&lt;3.5,"Below 3.5",IF(H499&lt;4,"3.5-3.9",IF(H499&lt;4.5,"4.0-4.4","4.5+"))))</f>
        <v>3.5-3.9</v>
      </c>
    </row>
    <row r="500" customFormat="false" ht="15" hidden="false" customHeight="false" outlineLevel="0" collapsed="false">
      <c r="A500" s="10" t="s">
        <v>1013</v>
      </c>
      <c r="B500" s="10" t="s">
        <v>1014</v>
      </c>
      <c r="C500" s="10" t="s">
        <v>48</v>
      </c>
      <c r="D500" s="10" t="s">
        <v>700</v>
      </c>
      <c r="E500" s="11" t="n">
        <v>1199</v>
      </c>
      <c r="F500" s="11" t="n">
        <v>299</v>
      </c>
      <c r="G500" s="12" t="n">
        <v>0.75</v>
      </c>
      <c r="H500" s="13" t="n">
        <v>4.5</v>
      </c>
      <c r="I500" s="11" t="n">
        <v>596</v>
      </c>
      <c r="J500" s="11" t="n">
        <f aca="false">E500-F500</f>
        <v>900</v>
      </c>
      <c r="K500" s="10" t="str">
        <f aca="false">IF(G500&lt;0.2,"0-19%",IF(G500&lt;0.4,"20-39%",IF(G500&lt;0.6,"40-59%",IF(G500&lt;0.8,"60-79%","80%+"))))</f>
        <v>60-79%</v>
      </c>
      <c r="L500" s="10" t="str">
        <f aca="false">IF(H500="","No rating",IF(H500&lt;3.5,"Below 3.5",IF(H500&lt;4,"3.5-3.9",IF(H500&lt;4.5,"4.0-4.4","4.5+"))))</f>
        <v>4.5+</v>
      </c>
    </row>
    <row r="501" customFormat="false" ht="15" hidden="false" customHeight="false" outlineLevel="0" collapsed="false">
      <c r="A501" s="10" t="s">
        <v>1015</v>
      </c>
      <c r="B501" s="10" t="s">
        <v>1016</v>
      </c>
      <c r="C501" s="10" t="s">
        <v>48</v>
      </c>
      <c r="D501" s="10" t="s">
        <v>700</v>
      </c>
      <c r="E501" s="11" t="n">
        <v>499</v>
      </c>
      <c r="F501" s="11" t="n">
        <v>79</v>
      </c>
      <c r="G501" s="12" t="n">
        <v>0.84</v>
      </c>
      <c r="H501" s="13" t="n">
        <v>4.2</v>
      </c>
      <c r="I501" s="11" t="n">
        <v>1949</v>
      </c>
      <c r="J501" s="11" t="n">
        <f aca="false">E501-F501</f>
        <v>420</v>
      </c>
      <c r="K501" s="10" t="str">
        <f aca="false">IF(G501&lt;0.2,"0-19%",IF(G501&lt;0.4,"20-39%",IF(G501&lt;0.6,"40-59%",IF(G501&lt;0.8,"60-79%","80%+"))))</f>
        <v>80%+</v>
      </c>
      <c r="L501" s="10" t="str">
        <f aca="false">IF(H501="","No rating",IF(H501&lt;3.5,"Below 3.5",IF(H501&lt;4,"3.5-3.9",IF(H501&lt;4.5,"4.0-4.4","4.5+"))))</f>
        <v>4.0-4.4</v>
      </c>
    </row>
    <row r="502" customFormat="false" ht="15" hidden="false" customHeight="false" outlineLevel="0" collapsed="false">
      <c r="A502" s="10" t="s">
        <v>1017</v>
      </c>
      <c r="B502" s="10" t="s">
        <v>1018</v>
      </c>
      <c r="C502" s="10" t="s">
        <v>48</v>
      </c>
      <c r="D502" s="10" t="s">
        <v>700</v>
      </c>
      <c r="E502" s="11" t="n">
        <v>15999</v>
      </c>
      <c r="F502" s="11" t="n">
        <v>13999</v>
      </c>
      <c r="G502" s="12" t="n">
        <v>0.13</v>
      </c>
      <c r="H502" s="13" t="n">
        <v>3.9</v>
      </c>
      <c r="I502" s="11" t="n">
        <v>2180</v>
      </c>
      <c r="J502" s="11" t="n">
        <f aca="false">E502-F502</f>
        <v>2000</v>
      </c>
      <c r="K502" s="10" t="str">
        <f aca="false">IF(G502&lt;0.2,"0-19%",IF(G502&lt;0.4,"20-39%",IF(G502&lt;0.6,"40-59%",IF(G502&lt;0.8,"60-79%","80%+"))))</f>
        <v>0-19%</v>
      </c>
      <c r="L502" s="10" t="str">
        <f aca="false">IF(H502="","No rating",IF(H502&lt;3.5,"Below 3.5",IF(H502&lt;4,"3.5-3.9",IF(H502&lt;4.5,"4.0-4.4","4.5+"))))</f>
        <v>3.5-3.9</v>
      </c>
    </row>
    <row r="503" customFormat="false" ht="15" hidden="false" customHeight="false" outlineLevel="0" collapsed="false">
      <c r="A503" s="10" t="s">
        <v>1019</v>
      </c>
      <c r="B503" s="10" t="s">
        <v>1020</v>
      </c>
      <c r="C503" s="10" t="s">
        <v>48</v>
      </c>
      <c r="D503" s="10" t="s">
        <v>722</v>
      </c>
      <c r="E503" s="11" t="n">
        <v>999</v>
      </c>
      <c r="F503" s="11" t="n">
        <v>949</v>
      </c>
      <c r="G503" s="12" t="n">
        <v>0.05</v>
      </c>
      <c r="H503" s="13" t="n">
        <v>4.2</v>
      </c>
      <c r="I503" s="11" t="n">
        <v>31539</v>
      </c>
      <c r="J503" s="11" t="n">
        <f aca="false">E503-F503</f>
        <v>50</v>
      </c>
      <c r="K503" s="10" t="str">
        <f aca="false">IF(G503&lt;0.2,"0-19%",IF(G503&lt;0.4,"20-39%",IF(G503&lt;0.6,"40-59%",IF(G503&lt;0.8,"60-79%","80%+"))))</f>
        <v>0-19%</v>
      </c>
      <c r="L503" s="10" t="str">
        <f aca="false">IF(H503="","No rating",IF(H503&lt;3.5,"Below 3.5",IF(H503&lt;4,"3.5-3.9",IF(H503&lt;4.5,"4.0-4.4","4.5+"))))</f>
        <v>4.0-4.4</v>
      </c>
    </row>
    <row r="504" customFormat="false" ht="15" hidden="false" customHeight="false" outlineLevel="0" collapsed="false">
      <c r="A504" s="10" t="s">
        <v>1021</v>
      </c>
      <c r="B504" s="10" t="s">
        <v>1022</v>
      </c>
      <c r="C504" s="10" t="s">
        <v>48</v>
      </c>
      <c r="D504" s="10" t="s">
        <v>700</v>
      </c>
      <c r="E504" s="11" t="n">
        <v>499</v>
      </c>
      <c r="F504" s="11" t="n">
        <v>99</v>
      </c>
      <c r="G504" s="12" t="n">
        <v>0.8</v>
      </c>
      <c r="H504" s="13" t="n">
        <v>4.1</v>
      </c>
      <c r="I504" s="11" t="n">
        <v>2451</v>
      </c>
      <c r="J504" s="11" t="n">
        <f aca="false">E504-F504</f>
        <v>400</v>
      </c>
      <c r="K504" s="10" t="str">
        <f aca="false">IF(G504&lt;0.2,"0-19%",IF(G504&lt;0.4,"20-39%",IF(G504&lt;0.6,"40-59%",IF(G504&lt;0.8,"60-79%","80%+"))))</f>
        <v>80%+</v>
      </c>
      <c r="L504" s="10" t="str">
        <f aca="false">IF(H504="","No rating",IF(H504&lt;3.5,"Below 3.5",IF(H504&lt;4,"3.5-3.9",IF(H504&lt;4.5,"4.0-4.4","4.5+"))))</f>
        <v>4.0-4.4</v>
      </c>
    </row>
    <row r="505" customFormat="false" ht="15" hidden="false" customHeight="false" outlineLevel="0" collapsed="false">
      <c r="A505" s="10" t="s">
        <v>1023</v>
      </c>
      <c r="B505" s="10" t="s">
        <v>1024</v>
      </c>
      <c r="C505" s="10" t="s">
        <v>48</v>
      </c>
      <c r="D505" s="10" t="s">
        <v>693</v>
      </c>
      <c r="E505" s="11" t="n">
        <v>7990</v>
      </c>
      <c r="F505" s="11" t="n">
        <v>2499</v>
      </c>
      <c r="G505" s="12" t="n">
        <v>0.69</v>
      </c>
      <c r="H505" s="13" t="n">
        <v>4.1</v>
      </c>
      <c r="I505" s="11" t="n">
        <v>154</v>
      </c>
      <c r="J505" s="11" t="n">
        <f aca="false">E505-F505</f>
        <v>5491</v>
      </c>
      <c r="K505" s="10" t="str">
        <f aca="false">IF(G505&lt;0.2,"0-19%",IF(G505&lt;0.4,"20-39%",IF(G505&lt;0.6,"40-59%",IF(G505&lt;0.8,"60-79%","80%+"))))</f>
        <v>60-79%</v>
      </c>
      <c r="L505" s="10" t="str">
        <f aca="false">IF(H505="","No rating",IF(H505&lt;3.5,"Below 3.5",IF(H505&lt;4,"3.5-3.9",IF(H505&lt;4.5,"4.0-4.4","4.5+"))))</f>
        <v>4.0-4.4</v>
      </c>
    </row>
    <row r="506" customFormat="false" ht="15" hidden="false" customHeight="false" outlineLevel="0" collapsed="false">
      <c r="A506" s="10" t="s">
        <v>1025</v>
      </c>
      <c r="B506" s="10" t="s">
        <v>1026</v>
      </c>
      <c r="C506" s="10" t="s">
        <v>48</v>
      </c>
      <c r="D506" s="10" t="s">
        <v>700</v>
      </c>
      <c r="E506" s="11" t="n">
        <v>1999</v>
      </c>
      <c r="F506" s="11" t="n">
        <v>689</v>
      </c>
      <c r="G506" s="12" t="n">
        <v>0.66</v>
      </c>
      <c r="H506" s="13" t="n">
        <v>4.3</v>
      </c>
      <c r="I506" s="11" t="n">
        <v>1193</v>
      </c>
      <c r="J506" s="11" t="n">
        <f aca="false">E506-F506</f>
        <v>1310</v>
      </c>
      <c r="K506" s="10" t="str">
        <f aca="false">IF(G506&lt;0.2,"0-19%",IF(G506&lt;0.4,"20-39%",IF(G506&lt;0.6,"40-59%",IF(G506&lt;0.8,"60-79%","80%+"))))</f>
        <v>60-79%</v>
      </c>
      <c r="L506" s="10" t="str">
        <f aca="false">IF(H506="","No rating",IF(H506&lt;3.5,"Below 3.5",IF(H506&lt;4,"3.5-3.9",IF(H506&lt;4.5,"4.0-4.4","4.5+"))))</f>
        <v>4.0-4.4</v>
      </c>
    </row>
    <row r="507" customFormat="false" ht="15" hidden="false" customHeight="false" outlineLevel="0" collapsed="false">
      <c r="A507" s="10" t="s">
        <v>1027</v>
      </c>
      <c r="B507" s="10" t="s">
        <v>1028</v>
      </c>
      <c r="C507" s="10" t="s">
        <v>48</v>
      </c>
      <c r="D507" s="10" t="s">
        <v>700</v>
      </c>
      <c r="E507" s="11" t="n">
        <v>1899</v>
      </c>
      <c r="F507" s="11" t="n">
        <v>499</v>
      </c>
      <c r="G507" s="12" t="n">
        <v>0.74</v>
      </c>
      <c r="H507" s="13" t="n">
        <v>4.1</v>
      </c>
      <c r="I507" s="11" t="n">
        <v>1475</v>
      </c>
      <c r="J507" s="11" t="n">
        <f aca="false">E507-F507</f>
        <v>1400</v>
      </c>
      <c r="K507" s="10" t="str">
        <f aca="false">IF(G507&lt;0.2,"0-19%",IF(G507&lt;0.4,"20-39%",IF(G507&lt;0.6,"40-59%",IF(G507&lt;0.8,"60-79%","80%+"))))</f>
        <v>60-79%</v>
      </c>
      <c r="L507" s="10" t="str">
        <f aca="false">IF(H507="","No rating",IF(H507&lt;3.5,"Below 3.5",IF(H507&lt;4,"3.5-3.9",IF(H507&lt;4.5,"4.0-4.4","4.5+"))))</f>
        <v>4.0-4.4</v>
      </c>
    </row>
    <row r="508" customFormat="false" ht="15" hidden="false" customHeight="false" outlineLevel="0" collapsed="false">
      <c r="A508" s="10" t="s">
        <v>1029</v>
      </c>
      <c r="B508" s="10" t="s">
        <v>1030</v>
      </c>
      <c r="C508" s="10" t="s">
        <v>48</v>
      </c>
      <c r="D508" s="10" t="s">
        <v>700</v>
      </c>
      <c r="E508" s="11" t="n">
        <v>999</v>
      </c>
      <c r="F508" s="11" t="n">
        <v>299</v>
      </c>
      <c r="G508" s="12" t="n">
        <v>0.7</v>
      </c>
      <c r="H508" s="13" t="n">
        <v>4.3</v>
      </c>
      <c r="I508" s="11" t="n">
        <v>8891</v>
      </c>
      <c r="J508" s="11" t="n">
        <f aca="false">E508-F508</f>
        <v>700</v>
      </c>
      <c r="K508" s="10" t="str">
        <f aca="false">IF(G508&lt;0.2,"0-19%",IF(G508&lt;0.4,"20-39%",IF(G508&lt;0.6,"40-59%",IF(G508&lt;0.8,"60-79%","80%+"))))</f>
        <v>60-79%</v>
      </c>
      <c r="L508" s="10" t="str">
        <f aca="false">IF(H508="","No rating",IF(H508&lt;3.5,"Below 3.5",IF(H508&lt;4,"3.5-3.9",IF(H508&lt;4.5,"4.0-4.4","4.5+"))))</f>
        <v>4.0-4.4</v>
      </c>
    </row>
    <row r="509" customFormat="false" ht="15" hidden="false" customHeight="false" outlineLevel="0" collapsed="false">
      <c r="A509" s="10" t="s">
        <v>1031</v>
      </c>
      <c r="B509" s="10" t="s">
        <v>1032</v>
      </c>
      <c r="C509" s="10" t="s">
        <v>48</v>
      </c>
      <c r="D509" s="10" t="s">
        <v>700</v>
      </c>
      <c r="E509" s="11" t="n">
        <v>499</v>
      </c>
      <c r="F509" s="11" t="n">
        <v>209</v>
      </c>
      <c r="G509" s="12" t="n">
        <v>0.58</v>
      </c>
      <c r="H509" s="13" t="n">
        <v>3.6</v>
      </c>
      <c r="I509" s="11" t="n">
        <v>104</v>
      </c>
      <c r="J509" s="11" t="n">
        <f aca="false">E509-F509</f>
        <v>290</v>
      </c>
      <c r="K509" s="10" t="str">
        <f aca="false">IF(G509&lt;0.2,"0-19%",IF(G509&lt;0.4,"20-39%",IF(G509&lt;0.6,"40-59%",IF(G509&lt;0.8,"60-79%","80%+"))))</f>
        <v>40-59%</v>
      </c>
      <c r="L509" s="10" t="str">
        <f aca="false">IF(H509="","No rating",IF(H509&lt;3.5,"Below 3.5",IF(H509&lt;4,"3.5-3.9",IF(H509&lt;4.5,"4.0-4.4","4.5+"))))</f>
        <v>3.5-3.9</v>
      </c>
    </row>
    <row r="510" customFormat="false" ht="15" hidden="false" customHeight="false" outlineLevel="0" collapsed="false">
      <c r="A510" s="10" t="s">
        <v>1033</v>
      </c>
      <c r="B510" s="10" t="s">
        <v>1034</v>
      </c>
      <c r="C510" s="10" t="s">
        <v>48</v>
      </c>
      <c r="D510" s="10" t="s">
        <v>700</v>
      </c>
      <c r="E510" s="11" t="n">
        <v>12999</v>
      </c>
      <c r="F510" s="11" t="n">
        <v>8499</v>
      </c>
      <c r="G510" s="12" t="n">
        <v>0.35</v>
      </c>
      <c r="H510" s="13" t="n">
        <v>4.1</v>
      </c>
      <c r="I510" s="11" t="n">
        <v>6662</v>
      </c>
      <c r="J510" s="11" t="n">
        <f aca="false">E510-F510</f>
        <v>4500</v>
      </c>
      <c r="K510" s="10" t="str">
        <f aca="false">IF(G510&lt;0.2,"0-19%",IF(G510&lt;0.4,"20-39%",IF(G510&lt;0.6,"40-59%",IF(G510&lt;0.8,"60-79%","80%+"))))</f>
        <v>20-39%</v>
      </c>
      <c r="L510" s="10" t="str">
        <f aca="false">IF(H510="","No rating",IF(H510&lt;3.5,"Below 3.5",IF(H510&lt;4,"3.5-3.9",IF(H510&lt;4.5,"4.0-4.4","4.5+"))))</f>
        <v>4.0-4.4</v>
      </c>
    </row>
    <row r="511" customFormat="false" ht="15" hidden="false" customHeight="false" outlineLevel="0" collapsed="false">
      <c r="A511" s="10" t="s">
        <v>1035</v>
      </c>
      <c r="B511" s="10" t="s">
        <v>1036</v>
      </c>
      <c r="C511" s="10" t="s">
        <v>48</v>
      </c>
      <c r="D511" s="10" t="s">
        <v>700</v>
      </c>
      <c r="E511" s="11" t="n">
        <v>3999</v>
      </c>
      <c r="F511" s="11" t="n">
        <v>2179</v>
      </c>
      <c r="G511" s="12" t="n">
        <v>0.46</v>
      </c>
      <c r="H511" s="13" t="n">
        <v>4</v>
      </c>
      <c r="I511" s="11" t="n">
        <v>8380</v>
      </c>
      <c r="J511" s="11" t="n">
        <f aca="false">E511-F511</f>
        <v>1820</v>
      </c>
      <c r="K511" s="10" t="str">
        <f aca="false">IF(G511&lt;0.2,"0-19%",IF(G511&lt;0.4,"20-39%",IF(G511&lt;0.6,"40-59%",IF(G511&lt;0.8,"60-79%","80%+"))))</f>
        <v>40-59%</v>
      </c>
      <c r="L511" s="10" t="str">
        <f aca="false">IF(H511="","No rating",IF(H511&lt;3.5,"Below 3.5",IF(H511&lt;4,"3.5-3.9",IF(H511&lt;4.5,"4.0-4.4","4.5+"))))</f>
        <v>4.0-4.4</v>
      </c>
    </row>
    <row r="512" customFormat="false" ht="15" hidden="false" customHeight="false" outlineLevel="0" collapsed="false">
      <c r="A512" s="10" t="s">
        <v>1037</v>
      </c>
      <c r="B512" s="10" t="s">
        <v>1038</v>
      </c>
      <c r="C512" s="10" t="s">
        <v>48</v>
      </c>
      <c r="D512" s="10" t="s">
        <v>700</v>
      </c>
      <c r="E512" s="11" t="n">
        <v>20999</v>
      </c>
      <c r="F512" s="11" t="n">
        <v>16999</v>
      </c>
      <c r="G512" s="12" t="n">
        <v>0.19</v>
      </c>
      <c r="H512" s="13" t="n">
        <v>4.1</v>
      </c>
      <c r="I512" s="11" t="n">
        <v>31822</v>
      </c>
      <c r="J512" s="11" t="n">
        <f aca="false">E512-F512</f>
        <v>4000</v>
      </c>
      <c r="K512" s="10" t="str">
        <f aca="false">IF(G512&lt;0.2,"0-19%",IF(G512&lt;0.4,"20-39%",IF(G512&lt;0.6,"40-59%",IF(G512&lt;0.8,"60-79%","80%+"))))</f>
        <v>0-19%</v>
      </c>
      <c r="L512" s="10" t="str">
        <f aca="false">IF(H512="","No rating",IF(H512&lt;3.5,"Below 3.5",IF(H512&lt;4,"3.5-3.9",IF(H512&lt;4.5,"4.0-4.4","4.5+"))))</f>
        <v>4.0-4.4</v>
      </c>
    </row>
    <row r="513" customFormat="false" ht="15" hidden="false" customHeight="false" outlineLevel="0" collapsed="false">
      <c r="A513" s="10" t="s">
        <v>1039</v>
      </c>
      <c r="B513" s="10" t="s">
        <v>1040</v>
      </c>
      <c r="C513" s="10" t="s">
        <v>48</v>
      </c>
      <c r="D513" s="10" t="s">
        <v>700</v>
      </c>
      <c r="E513" s="11" t="n">
        <v>49999</v>
      </c>
      <c r="F513" s="11" t="n">
        <v>44999</v>
      </c>
      <c r="G513" s="12" t="n">
        <v>0.1</v>
      </c>
      <c r="H513" s="13" t="n">
        <v>4.3</v>
      </c>
      <c r="I513" s="11" t="n">
        <v>3075</v>
      </c>
      <c r="J513" s="11" t="n">
        <f aca="false">E513-F513</f>
        <v>5000</v>
      </c>
      <c r="K513" s="10" t="str">
        <f aca="false">IF(G513&lt;0.2,"0-19%",IF(G513&lt;0.4,"20-39%",IF(G513&lt;0.6,"40-59%",IF(G513&lt;0.8,"60-79%","80%+"))))</f>
        <v>0-19%</v>
      </c>
      <c r="L513" s="10" t="str">
        <f aca="false">IF(H513="","No rating",IF(H513&lt;3.5,"Below 3.5",IF(H513&lt;4,"3.5-3.9",IF(H513&lt;4.5,"4.0-4.4","4.5+"))))</f>
        <v>4.0-4.4</v>
      </c>
    </row>
    <row r="514" customFormat="false" ht="15" hidden="false" customHeight="false" outlineLevel="0" collapsed="false">
      <c r="A514" s="10" t="s">
        <v>1041</v>
      </c>
      <c r="B514" s="10" t="s">
        <v>1042</v>
      </c>
      <c r="C514" s="10" t="s">
        <v>48</v>
      </c>
      <c r="D514" s="10" t="s">
        <v>700</v>
      </c>
      <c r="E514" s="11" t="n">
        <v>2999</v>
      </c>
      <c r="F514" s="11" t="n">
        <v>2599</v>
      </c>
      <c r="G514" s="12" t="n">
        <v>0.13</v>
      </c>
      <c r="H514" s="13" t="n">
        <v>3.9</v>
      </c>
      <c r="I514" s="11" t="n">
        <v>14266</v>
      </c>
      <c r="J514" s="11" t="n">
        <f aca="false">E514-F514</f>
        <v>400</v>
      </c>
      <c r="K514" s="10" t="str">
        <f aca="false">IF(G514&lt;0.2,"0-19%",IF(G514&lt;0.4,"20-39%",IF(G514&lt;0.6,"40-59%",IF(G514&lt;0.8,"60-79%","80%+"))))</f>
        <v>0-19%</v>
      </c>
      <c r="L514" s="10" t="str">
        <f aca="false">IF(H514="","No rating",IF(H514&lt;3.5,"Below 3.5",IF(H514&lt;4,"3.5-3.9",IF(H514&lt;4.5,"4.0-4.4","4.5+"))))</f>
        <v>3.5-3.9</v>
      </c>
    </row>
    <row r="515" customFormat="false" ht="15" hidden="false" customHeight="false" outlineLevel="0" collapsed="false">
      <c r="A515" s="10" t="s">
        <v>1043</v>
      </c>
      <c r="B515" s="10" t="s">
        <v>1044</v>
      </c>
      <c r="C515" s="10" t="s">
        <v>48</v>
      </c>
      <c r="D515" s="10" t="s">
        <v>693</v>
      </c>
      <c r="E515" s="11" t="n">
        <v>6499</v>
      </c>
      <c r="F515" s="11" t="n">
        <v>2799</v>
      </c>
      <c r="G515" s="12" t="n">
        <v>0.57</v>
      </c>
      <c r="H515" s="13" t="n">
        <v>4.1</v>
      </c>
      <c r="I515" s="11" t="n">
        <v>38879</v>
      </c>
      <c r="J515" s="11" t="n">
        <f aca="false">E515-F515</f>
        <v>3700</v>
      </c>
      <c r="K515" s="10" t="str">
        <f aca="false">IF(G515&lt;0.2,"0-19%",IF(G515&lt;0.4,"20-39%",IF(G515&lt;0.6,"40-59%",IF(G515&lt;0.8,"60-79%","80%+"))))</f>
        <v>40-59%</v>
      </c>
      <c r="L515" s="10" t="str">
        <f aca="false">IF(H515="","No rating",IF(H515&lt;3.5,"Below 3.5",IF(H515&lt;4,"3.5-3.9",IF(H515&lt;4.5,"4.0-4.4","4.5+"))))</f>
        <v>4.0-4.4</v>
      </c>
    </row>
    <row r="516" customFormat="false" ht="15" hidden="false" customHeight="false" outlineLevel="0" collapsed="false">
      <c r="A516" s="10" t="s">
        <v>1045</v>
      </c>
      <c r="B516" s="10" t="s">
        <v>1046</v>
      </c>
      <c r="C516" s="10" t="s">
        <v>48</v>
      </c>
      <c r="D516" s="10" t="s">
        <v>722</v>
      </c>
      <c r="E516" s="11" t="n">
        <v>2990</v>
      </c>
      <c r="F516" s="11" t="n">
        <v>1399</v>
      </c>
      <c r="G516" s="12" t="n">
        <v>0.53</v>
      </c>
      <c r="H516" s="13" t="n">
        <v>4.1</v>
      </c>
      <c r="I516" s="11" t="n">
        <v>97175</v>
      </c>
      <c r="J516" s="11" t="n">
        <f aca="false">E516-F516</f>
        <v>1591</v>
      </c>
      <c r="K516" s="10" t="str">
        <f aca="false">IF(G516&lt;0.2,"0-19%",IF(G516&lt;0.4,"20-39%",IF(G516&lt;0.6,"40-59%",IF(G516&lt;0.8,"60-79%","80%+"))))</f>
        <v>40-59%</v>
      </c>
      <c r="L516" s="10" t="str">
        <f aca="false">IF(H516="","No rating",IF(H516&lt;3.5,"Below 3.5",IF(H516&lt;4,"3.5-3.9",IF(H516&lt;4.5,"4.0-4.4","4.5+"))))</f>
        <v>4.0-4.4</v>
      </c>
    </row>
    <row r="517" customFormat="false" ht="15" hidden="false" customHeight="false" outlineLevel="0" collapsed="false">
      <c r="A517" s="10" t="s">
        <v>1047</v>
      </c>
      <c r="B517" s="10" t="s">
        <v>1048</v>
      </c>
      <c r="C517" s="10" t="s">
        <v>48</v>
      </c>
      <c r="D517" s="10" t="s">
        <v>713</v>
      </c>
      <c r="E517" s="11" t="n">
        <v>2400</v>
      </c>
      <c r="F517" s="11" t="n">
        <v>649</v>
      </c>
      <c r="G517" s="12" t="n">
        <v>0.73</v>
      </c>
      <c r="H517" s="13" t="n">
        <v>4.4</v>
      </c>
      <c r="I517" s="11" t="n">
        <v>67260</v>
      </c>
      <c r="J517" s="11" t="n">
        <f aca="false">E517-F517</f>
        <v>1751</v>
      </c>
      <c r="K517" s="10" t="str">
        <f aca="false">IF(G517&lt;0.2,"0-19%",IF(G517&lt;0.4,"20-39%",IF(G517&lt;0.6,"40-59%",IF(G517&lt;0.8,"60-79%","80%+"))))</f>
        <v>60-79%</v>
      </c>
      <c r="L517" s="10" t="str">
        <f aca="false">IF(H517="","No rating",IF(H517&lt;3.5,"Below 3.5",IF(H517&lt;4,"3.5-3.9",IF(H517&lt;4.5,"4.0-4.4","4.5+"))))</f>
        <v>4.0-4.4</v>
      </c>
    </row>
    <row r="518" customFormat="false" ht="15" hidden="false" customHeight="false" outlineLevel="0" collapsed="false">
      <c r="A518" s="10" t="s">
        <v>1049</v>
      </c>
      <c r="B518" s="10" t="s">
        <v>1050</v>
      </c>
      <c r="C518" s="10" t="s">
        <v>48</v>
      </c>
      <c r="D518" s="10" t="s">
        <v>700</v>
      </c>
      <c r="E518" s="11" t="n">
        <v>3990</v>
      </c>
      <c r="F518" s="11" t="n">
        <v>799</v>
      </c>
      <c r="G518" s="12" t="n">
        <v>0.8</v>
      </c>
      <c r="H518" s="13" t="n">
        <v>3.8</v>
      </c>
      <c r="I518" s="11" t="n">
        <v>119</v>
      </c>
      <c r="J518" s="11" t="n">
        <f aca="false">E518-F518</f>
        <v>3191</v>
      </c>
      <c r="K518" s="10" t="str">
        <f aca="false">IF(G518&lt;0.2,"0-19%",IF(G518&lt;0.4,"20-39%",IF(G518&lt;0.6,"40-59%",IF(G518&lt;0.8,"60-79%","80%+"))))</f>
        <v>80%+</v>
      </c>
      <c r="L518" s="10" t="str">
        <f aca="false">IF(H518="","No rating",IF(H518&lt;3.5,"Below 3.5",IF(H518&lt;4,"3.5-3.9",IF(H518&lt;4.5,"4.0-4.4","4.5+"))))</f>
        <v>3.5-3.9</v>
      </c>
    </row>
    <row r="519" customFormat="false" ht="15" hidden="false" customHeight="false" outlineLevel="0" collapsed="false">
      <c r="A519" s="10" t="s">
        <v>1051</v>
      </c>
      <c r="B519" s="10" t="s">
        <v>1052</v>
      </c>
      <c r="C519" s="10" t="s">
        <v>21</v>
      </c>
      <c r="D519" s="10" t="s">
        <v>22</v>
      </c>
      <c r="E519" s="11" t="n">
        <v>149</v>
      </c>
      <c r="F519" s="11" t="n">
        <v>149</v>
      </c>
      <c r="G519" s="12" t="n">
        <v>0</v>
      </c>
      <c r="H519" s="13" t="n">
        <v>4.3</v>
      </c>
      <c r="I519" s="11" t="n">
        <v>10833</v>
      </c>
      <c r="J519" s="11" t="n">
        <f aca="false">E519-F519</f>
        <v>0</v>
      </c>
      <c r="K519" s="10" t="str">
        <f aca="false">IF(G519&lt;0.2,"0-19%",IF(G519&lt;0.4,"20-39%",IF(G519&lt;0.6,"40-59%",IF(G519&lt;0.8,"60-79%","80%+"))))</f>
        <v>0-19%</v>
      </c>
      <c r="L519" s="10" t="str">
        <f aca="false">IF(H519="","No rating",IF(H519&lt;3.5,"Below 3.5",IF(H519&lt;4,"3.5-3.9",IF(H519&lt;4.5,"4.0-4.4","4.5+"))))</f>
        <v>4.0-4.4</v>
      </c>
    </row>
    <row r="520" customFormat="false" ht="15" hidden="false" customHeight="false" outlineLevel="0" collapsed="false">
      <c r="A520" s="10" t="s">
        <v>1053</v>
      </c>
      <c r="B520" s="10" t="s">
        <v>1054</v>
      </c>
      <c r="C520" s="10" t="s">
        <v>48</v>
      </c>
      <c r="D520" s="10" t="s">
        <v>700</v>
      </c>
      <c r="E520" s="11" t="n">
        <v>5299</v>
      </c>
      <c r="F520" s="11" t="n">
        <v>3799</v>
      </c>
      <c r="G520" s="12" t="n">
        <v>0.28</v>
      </c>
      <c r="H520" s="13" t="n">
        <v>3.5</v>
      </c>
      <c r="I520" s="11" t="n">
        <v>1641</v>
      </c>
      <c r="J520" s="11" t="n">
        <f aca="false">E520-F520</f>
        <v>1500</v>
      </c>
      <c r="K520" s="10" t="str">
        <f aca="false">IF(G520&lt;0.2,"0-19%",IF(G520&lt;0.4,"20-39%",IF(G520&lt;0.6,"40-59%",IF(G520&lt;0.8,"60-79%","80%+"))))</f>
        <v>20-39%</v>
      </c>
      <c r="L520" s="10" t="str">
        <f aca="false">IF(H520="","No rating",IF(H520&lt;3.5,"Below 3.5",IF(H520&lt;4,"3.5-3.9",IF(H520&lt;4.5,"4.0-4.4","4.5+"))))</f>
        <v>3.5-3.9</v>
      </c>
    </row>
    <row r="521" customFormat="false" ht="15" hidden="false" customHeight="false" outlineLevel="0" collapsed="false">
      <c r="A521" s="10" t="s">
        <v>1055</v>
      </c>
      <c r="B521" s="10" t="s">
        <v>1056</v>
      </c>
      <c r="C521" s="10" t="s">
        <v>48</v>
      </c>
      <c r="D521" s="10" t="s">
        <v>700</v>
      </c>
      <c r="E521" s="11" t="n">
        <v>1899</v>
      </c>
      <c r="F521" s="11" t="n">
        <v>199</v>
      </c>
      <c r="G521" s="12" t="n">
        <v>0.9</v>
      </c>
      <c r="H521" s="13" t="n">
        <v>4</v>
      </c>
      <c r="I521" s="11" t="n">
        <v>4740</v>
      </c>
      <c r="J521" s="11" t="n">
        <f aca="false">E521-F521</f>
        <v>1700</v>
      </c>
      <c r="K521" s="10" t="str">
        <f aca="false">IF(G521&lt;0.2,"0-19%",IF(G521&lt;0.4,"20-39%",IF(G521&lt;0.6,"40-59%",IF(G521&lt;0.8,"60-79%","80%+"))))</f>
        <v>80%+</v>
      </c>
      <c r="L521" s="10" t="str">
        <f aca="false">IF(H521="","No rating",IF(H521&lt;3.5,"Below 3.5",IF(H521&lt;4,"3.5-3.9",IF(H521&lt;4.5,"4.0-4.4","4.5+"))))</f>
        <v>4.0-4.4</v>
      </c>
    </row>
    <row r="522" customFormat="false" ht="15" hidden="false" customHeight="false" outlineLevel="0" collapsed="false">
      <c r="A522" s="10" t="s">
        <v>1057</v>
      </c>
      <c r="B522" s="10" t="s">
        <v>1058</v>
      </c>
      <c r="C522" s="10" t="s">
        <v>48</v>
      </c>
      <c r="D522" s="10" t="s">
        <v>700</v>
      </c>
      <c r="E522" s="11" t="n">
        <v>32999</v>
      </c>
      <c r="F522" s="11" t="n">
        <v>23999</v>
      </c>
      <c r="G522" s="12" t="n">
        <v>0.27</v>
      </c>
      <c r="H522" s="13" t="n">
        <v>3.9</v>
      </c>
      <c r="I522" s="11" t="n">
        <v>8866</v>
      </c>
      <c r="J522" s="11" t="n">
        <f aca="false">E522-F522</f>
        <v>9000</v>
      </c>
      <c r="K522" s="10" t="str">
        <f aca="false">IF(G522&lt;0.2,"0-19%",IF(G522&lt;0.4,"20-39%",IF(G522&lt;0.6,"40-59%",IF(G522&lt;0.8,"60-79%","80%+"))))</f>
        <v>20-39%</v>
      </c>
      <c r="L522" s="10" t="str">
        <f aca="false">IF(H522="","No rating",IF(H522&lt;3.5,"Below 3.5",IF(H522&lt;4,"3.5-3.9",IF(H522&lt;4.5,"4.0-4.4","4.5+"))))</f>
        <v>3.5-3.9</v>
      </c>
    </row>
    <row r="523" customFormat="false" ht="15" hidden="false" customHeight="false" outlineLevel="0" collapsed="false">
      <c r="A523" s="10" t="s">
        <v>1059</v>
      </c>
      <c r="B523" s="10" t="s">
        <v>1060</v>
      </c>
      <c r="C523" s="10" t="s">
        <v>48</v>
      </c>
      <c r="D523" s="10" t="s">
        <v>700</v>
      </c>
      <c r="E523" s="11" t="n">
        <v>39990</v>
      </c>
      <c r="F523" s="11" t="n">
        <v>29990</v>
      </c>
      <c r="G523" s="12" t="n">
        <v>0.25</v>
      </c>
      <c r="H523" s="13" t="n">
        <v>4.3</v>
      </c>
      <c r="I523" s="11" t="n">
        <v>8399</v>
      </c>
      <c r="J523" s="11" t="n">
        <f aca="false">E523-F523</f>
        <v>10000</v>
      </c>
      <c r="K523" s="10" t="str">
        <f aca="false">IF(G523&lt;0.2,"0-19%",IF(G523&lt;0.4,"20-39%",IF(G523&lt;0.6,"40-59%",IF(G523&lt;0.8,"60-79%","80%+"))))</f>
        <v>20-39%</v>
      </c>
      <c r="L523" s="10" t="str">
        <f aca="false">IF(H523="","No rating",IF(H523&lt;3.5,"Below 3.5",IF(H523&lt;4,"3.5-3.9",IF(H523&lt;4.5,"4.0-4.4","4.5+"))))</f>
        <v>4.0-4.4</v>
      </c>
    </row>
    <row r="524" customFormat="false" ht="15" hidden="false" customHeight="false" outlineLevel="0" collapsed="false">
      <c r="A524" s="10" t="s">
        <v>1061</v>
      </c>
      <c r="B524" s="10" t="s">
        <v>1062</v>
      </c>
      <c r="C524" s="10" t="s">
        <v>48</v>
      </c>
      <c r="D524" s="10" t="s">
        <v>693</v>
      </c>
      <c r="E524" s="11" t="n">
        <v>1999</v>
      </c>
      <c r="F524" s="11" t="n">
        <v>281</v>
      </c>
      <c r="G524" s="12" t="n">
        <v>0.86</v>
      </c>
      <c r="H524" s="13" t="n">
        <v>2.8</v>
      </c>
      <c r="I524" s="11" t="n">
        <v>87</v>
      </c>
      <c r="J524" s="11" t="n">
        <f aca="false">E524-F524</f>
        <v>1718</v>
      </c>
      <c r="K524" s="10" t="str">
        <f aca="false">IF(G524&lt;0.2,"0-19%",IF(G524&lt;0.4,"20-39%",IF(G524&lt;0.6,"40-59%",IF(G524&lt;0.8,"60-79%","80%+"))))</f>
        <v>80%+</v>
      </c>
      <c r="L524" s="10" t="str">
        <f aca="false">IF(H524="","No rating",IF(H524&lt;3.5,"Below 3.5",IF(H524&lt;4,"3.5-3.9",IF(H524&lt;4.5,"4.0-4.4","4.5+"))))</f>
        <v>Below 3.5</v>
      </c>
    </row>
    <row r="525" customFormat="false" ht="15" hidden="false" customHeight="false" outlineLevel="0" collapsed="false">
      <c r="A525" s="10" t="s">
        <v>1063</v>
      </c>
      <c r="B525" s="10" t="s">
        <v>1064</v>
      </c>
      <c r="C525" s="10" t="s">
        <v>48</v>
      </c>
      <c r="D525" s="10" t="s">
        <v>700</v>
      </c>
      <c r="E525" s="11" t="n">
        <v>11999</v>
      </c>
      <c r="F525" s="11" t="n">
        <v>7998</v>
      </c>
      <c r="G525" s="12" t="n">
        <v>0.33</v>
      </c>
      <c r="H525" s="13" t="n">
        <v>3.8</v>
      </c>
      <c r="I525" s="11" t="n">
        <v>125</v>
      </c>
      <c r="J525" s="11" t="n">
        <f aca="false">E525-F525</f>
        <v>4001</v>
      </c>
      <c r="K525" s="10" t="str">
        <f aca="false">IF(G525&lt;0.2,"0-19%",IF(G525&lt;0.4,"20-39%",IF(G525&lt;0.6,"40-59%",IF(G525&lt;0.8,"60-79%","80%+"))))</f>
        <v>20-39%</v>
      </c>
      <c r="L525" s="10" t="str">
        <f aca="false">IF(H525="","No rating",IF(H525&lt;3.5,"Below 3.5",IF(H525&lt;4,"3.5-3.9",IF(H525&lt;4.5,"4.0-4.4","4.5+"))))</f>
        <v>3.5-3.9</v>
      </c>
    </row>
    <row r="526" customFormat="false" ht="15" hidden="false" customHeight="false" outlineLevel="0" collapsed="false">
      <c r="A526" s="10" t="s">
        <v>1065</v>
      </c>
      <c r="B526" s="10" t="s">
        <v>1066</v>
      </c>
      <c r="C526" s="10" t="s">
        <v>48</v>
      </c>
      <c r="D526" s="10" t="s">
        <v>693</v>
      </c>
      <c r="E526" s="11" t="n">
        <v>999</v>
      </c>
      <c r="F526" s="11" t="n">
        <v>249</v>
      </c>
      <c r="G526" s="12" t="n">
        <v>0.75</v>
      </c>
      <c r="H526" s="13" t="n">
        <v>4.5</v>
      </c>
      <c r="I526" s="11" t="n">
        <v>38</v>
      </c>
      <c r="J526" s="11" t="n">
        <f aca="false">E526-F526</f>
        <v>750</v>
      </c>
      <c r="K526" s="10" t="str">
        <f aca="false">IF(G526&lt;0.2,"0-19%",IF(G526&lt;0.4,"20-39%",IF(G526&lt;0.6,"40-59%",IF(G526&lt;0.8,"60-79%","80%+"))))</f>
        <v>60-79%</v>
      </c>
      <c r="L526" s="10" t="str">
        <f aca="false">IF(H526="","No rating",IF(H526&lt;3.5,"Below 3.5",IF(H526&lt;4,"3.5-3.9",IF(H526&lt;4.5,"4.0-4.4","4.5+"))))</f>
        <v>4.5+</v>
      </c>
    </row>
    <row r="527" customFormat="false" ht="15" hidden="false" customHeight="false" outlineLevel="0" collapsed="false">
      <c r="A527" s="10" t="s">
        <v>1067</v>
      </c>
      <c r="B527" s="10" t="s">
        <v>1068</v>
      </c>
      <c r="C527" s="10" t="s">
        <v>48</v>
      </c>
      <c r="D527" s="10" t="s">
        <v>700</v>
      </c>
      <c r="E527" s="11" t="n">
        <v>599</v>
      </c>
      <c r="F527" s="11" t="n">
        <v>299</v>
      </c>
      <c r="G527" s="12" t="n">
        <v>0.5</v>
      </c>
      <c r="H527" s="13" t="n">
        <v>4.3</v>
      </c>
      <c r="I527" s="11" t="n">
        <v>4674</v>
      </c>
      <c r="J527" s="11" t="n">
        <f aca="false">E527-F527</f>
        <v>300</v>
      </c>
      <c r="K527" s="10" t="str">
        <f aca="false">IF(G527&lt;0.2,"0-19%",IF(G527&lt;0.4,"20-39%",IF(G527&lt;0.6,"40-59%",IF(G527&lt;0.8,"60-79%","80%+"))))</f>
        <v>40-59%</v>
      </c>
      <c r="L527" s="10" t="str">
        <f aca="false">IF(H527="","No rating",IF(H527&lt;3.5,"Below 3.5",IF(H527&lt;4,"3.5-3.9",IF(H527&lt;4.5,"4.0-4.4","4.5+"))))</f>
        <v>4.0-4.4</v>
      </c>
    </row>
    <row r="528" customFormat="false" ht="15" hidden="false" customHeight="false" outlineLevel="0" collapsed="false">
      <c r="A528" s="10" t="s">
        <v>1069</v>
      </c>
      <c r="B528" s="10" t="s">
        <v>1070</v>
      </c>
      <c r="C528" s="10" t="s">
        <v>48</v>
      </c>
      <c r="D528" s="10" t="s">
        <v>693</v>
      </c>
      <c r="E528" s="11" t="n">
        <v>1899</v>
      </c>
      <c r="F528" s="11" t="n">
        <v>499</v>
      </c>
      <c r="G528" s="12" t="n">
        <v>0.74</v>
      </c>
      <c r="H528" s="13" t="n">
        <v>4.1</v>
      </c>
      <c r="I528" s="11" t="n">
        <v>412</v>
      </c>
      <c r="J528" s="11" t="n">
        <f aca="false">E528-F528</f>
        <v>1400</v>
      </c>
      <c r="K528" s="10" t="str">
        <f aca="false">IF(G528&lt;0.2,"0-19%",IF(G528&lt;0.4,"20-39%",IF(G528&lt;0.6,"40-59%",IF(G528&lt;0.8,"60-79%","80%+"))))</f>
        <v>60-79%</v>
      </c>
      <c r="L528" s="10" t="str">
        <f aca="false">IF(H528="","No rating",IF(H528&lt;3.5,"Below 3.5",IF(H528&lt;4,"3.5-3.9",IF(H528&lt;4.5,"4.0-4.4","4.5+"))))</f>
        <v>4.0-4.4</v>
      </c>
    </row>
    <row r="529" customFormat="false" ht="15" hidden="false" customHeight="false" outlineLevel="0" collapsed="false">
      <c r="A529" s="10" t="s">
        <v>1071</v>
      </c>
      <c r="B529" s="10" t="s">
        <v>1072</v>
      </c>
      <c r="C529" s="10" t="s">
        <v>48</v>
      </c>
      <c r="D529" s="10" t="s">
        <v>693</v>
      </c>
      <c r="E529" s="11" t="n">
        <v>3499</v>
      </c>
      <c r="F529" s="11" t="n">
        <v>899</v>
      </c>
      <c r="G529" s="12" t="n">
        <v>0.74</v>
      </c>
      <c r="H529" s="13" t="n">
        <v>3</v>
      </c>
      <c r="I529" s="11" t="n">
        <v>681</v>
      </c>
      <c r="J529" s="11" t="n">
        <f aca="false">E529-F529</f>
        <v>2600</v>
      </c>
      <c r="K529" s="10" t="str">
        <f aca="false">IF(G529&lt;0.2,"0-19%",IF(G529&lt;0.4,"20-39%",IF(G529&lt;0.6,"40-59%",IF(G529&lt;0.8,"60-79%","80%+"))))</f>
        <v>60-79%</v>
      </c>
      <c r="L529" s="10" t="str">
        <f aca="false">IF(H529="","No rating",IF(H529&lt;3.5,"Below 3.5",IF(H529&lt;4,"3.5-3.9",IF(H529&lt;4.5,"4.0-4.4","4.5+"))))</f>
        <v>Below 3.5</v>
      </c>
    </row>
    <row r="530" customFormat="false" ht="15" hidden="false" customHeight="false" outlineLevel="0" collapsed="false">
      <c r="A530" s="10" t="s">
        <v>1073</v>
      </c>
      <c r="B530" s="10" t="s">
        <v>1074</v>
      </c>
      <c r="C530" s="10" t="s">
        <v>48</v>
      </c>
      <c r="D530" s="10" t="s">
        <v>700</v>
      </c>
      <c r="E530" s="11" t="n">
        <v>3499</v>
      </c>
      <c r="F530" s="11" t="n">
        <v>1599</v>
      </c>
      <c r="G530" s="12" t="n">
        <v>0.54</v>
      </c>
      <c r="H530" s="13" t="n">
        <v>4</v>
      </c>
      <c r="I530" s="11" t="n">
        <v>36384</v>
      </c>
      <c r="J530" s="11" t="n">
        <f aca="false">E530-F530</f>
        <v>1900</v>
      </c>
      <c r="K530" s="10" t="str">
        <f aca="false">IF(G530&lt;0.2,"0-19%",IF(G530&lt;0.4,"20-39%",IF(G530&lt;0.6,"40-59%",IF(G530&lt;0.8,"60-79%","80%+"))))</f>
        <v>40-59%</v>
      </c>
      <c r="L530" s="10" t="str">
        <f aca="false">IF(H530="","No rating",IF(H530&lt;3.5,"Below 3.5",IF(H530&lt;4,"3.5-3.9",IF(H530&lt;4.5,"4.0-4.4","4.5+"))))</f>
        <v>4.0-4.4</v>
      </c>
    </row>
    <row r="531" customFormat="false" ht="15" hidden="false" customHeight="false" outlineLevel="0" collapsed="false">
      <c r="A531" s="10" t="s">
        <v>1075</v>
      </c>
      <c r="B531" s="10" t="s">
        <v>1076</v>
      </c>
      <c r="C531" s="10" t="s">
        <v>48</v>
      </c>
      <c r="D531" s="10" t="s">
        <v>722</v>
      </c>
      <c r="E531" s="11" t="n">
        <v>999</v>
      </c>
      <c r="F531" s="11" t="n">
        <v>120</v>
      </c>
      <c r="G531" s="12" t="n">
        <v>0.88</v>
      </c>
      <c r="H531" s="13" t="n">
        <v>3.9</v>
      </c>
      <c r="I531" s="11" t="n">
        <v>6491</v>
      </c>
      <c r="J531" s="11" t="n">
        <f aca="false">E531-F531</f>
        <v>879</v>
      </c>
      <c r="K531" s="10" t="str">
        <f aca="false">IF(G531&lt;0.2,"0-19%",IF(G531&lt;0.4,"20-39%",IF(G531&lt;0.6,"40-59%",IF(G531&lt;0.8,"60-79%","80%+"))))</f>
        <v>80%+</v>
      </c>
      <c r="L531" s="10" t="str">
        <f aca="false">IF(H531="","No rating",IF(H531&lt;3.5,"Below 3.5",IF(H531&lt;4,"3.5-3.9",IF(H531&lt;4.5,"4.0-4.4","4.5+"))))</f>
        <v>3.5-3.9</v>
      </c>
    </row>
    <row r="532" customFormat="false" ht="15" hidden="false" customHeight="false" outlineLevel="0" collapsed="false">
      <c r="A532" s="10" t="s">
        <v>1077</v>
      </c>
      <c r="B532" s="10" t="s">
        <v>1078</v>
      </c>
      <c r="C532" s="10" t="s">
        <v>48</v>
      </c>
      <c r="D532" s="10" t="s">
        <v>693</v>
      </c>
      <c r="E532" s="11" t="n">
        <v>6999</v>
      </c>
      <c r="F532" s="11" t="n">
        <v>3999</v>
      </c>
      <c r="G532" s="12" t="n">
        <v>0.43</v>
      </c>
      <c r="H532" s="13" t="n">
        <v>4.1</v>
      </c>
      <c r="I532" s="11" t="n">
        <v>10229</v>
      </c>
      <c r="J532" s="11" t="n">
        <f aca="false">E532-F532</f>
        <v>3000</v>
      </c>
      <c r="K532" s="10" t="str">
        <f aca="false">IF(G532&lt;0.2,"0-19%",IF(G532&lt;0.4,"20-39%",IF(G532&lt;0.6,"40-59%",IF(G532&lt;0.8,"60-79%","80%+"))))</f>
        <v>40-59%</v>
      </c>
      <c r="L532" s="10" t="str">
        <f aca="false">IF(H532="","No rating",IF(H532&lt;3.5,"Below 3.5",IF(H532&lt;4,"3.5-3.9",IF(H532&lt;4.5,"4.0-4.4","4.5+"))))</f>
        <v>4.0-4.4</v>
      </c>
    </row>
    <row r="533" customFormat="false" ht="15" hidden="false" customHeight="false" outlineLevel="0" collapsed="false">
      <c r="A533" s="10" t="s">
        <v>1079</v>
      </c>
      <c r="B533" s="10" t="s">
        <v>985</v>
      </c>
      <c r="C533" s="10" t="s">
        <v>48</v>
      </c>
      <c r="D533" s="10" t="s">
        <v>700</v>
      </c>
      <c r="E533" s="11" t="n">
        <v>18999</v>
      </c>
      <c r="F533" s="11" t="n">
        <v>12999</v>
      </c>
      <c r="G533" s="12" t="n">
        <v>0.32</v>
      </c>
      <c r="H533" s="13" t="n">
        <v>4.1</v>
      </c>
      <c r="I533" s="11" t="n">
        <v>50772</v>
      </c>
      <c r="J533" s="11" t="n">
        <f aca="false">E533-F533</f>
        <v>6000</v>
      </c>
      <c r="K533" s="10" t="str">
        <f aca="false">IF(G533&lt;0.2,"0-19%",IF(G533&lt;0.4,"20-39%",IF(G533&lt;0.6,"40-59%",IF(G533&lt;0.8,"60-79%","80%+"))))</f>
        <v>20-39%</v>
      </c>
      <c r="L533" s="10" t="str">
        <f aca="false">IF(H533="","No rating",IF(H533&lt;3.5,"Below 3.5",IF(H533&lt;4,"3.5-3.9",IF(H533&lt;4.5,"4.0-4.4","4.5+"))))</f>
        <v>4.0-4.4</v>
      </c>
    </row>
    <row r="534" customFormat="false" ht="15" hidden="false" customHeight="false" outlineLevel="0" collapsed="false">
      <c r="A534" s="10" t="s">
        <v>1080</v>
      </c>
      <c r="B534" s="10" t="s">
        <v>1081</v>
      </c>
      <c r="C534" s="10" t="s">
        <v>48</v>
      </c>
      <c r="D534" s="10" t="s">
        <v>700</v>
      </c>
      <c r="E534" s="11" t="n">
        <v>2599</v>
      </c>
      <c r="F534" s="11" t="n">
        <v>1599</v>
      </c>
      <c r="G534" s="12" t="n">
        <v>0.38</v>
      </c>
      <c r="H534" s="13" t="n">
        <v>4.3</v>
      </c>
      <c r="I534" s="11" t="n">
        <v>1801</v>
      </c>
      <c r="J534" s="11" t="n">
        <f aca="false">E534-F534</f>
        <v>1000</v>
      </c>
      <c r="K534" s="10" t="str">
        <f aca="false">IF(G534&lt;0.2,"0-19%",IF(G534&lt;0.4,"20-39%",IF(G534&lt;0.6,"40-59%",IF(G534&lt;0.8,"60-79%","80%+"))))</f>
        <v>20-39%</v>
      </c>
      <c r="L534" s="10" t="str">
        <f aca="false">IF(H534="","No rating",IF(H534&lt;3.5,"Below 3.5",IF(H534&lt;4,"3.5-3.9",IF(H534&lt;4.5,"4.0-4.4","4.5+"))))</f>
        <v>4.0-4.4</v>
      </c>
    </row>
    <row r="535" customFormat="false" ht="15" hidden="false" customHeight="false" outlineLevel="0" collapsed="false">
      <c r="A535" s="10" t="s">
        <v>1082</v>
      </c>
      <c r="B535" s="10" t="s">
        <v>1083</v>
      </c>
      <c r="C535" s="10" t="s">
        <v>48</v>
      </c>
      <c r="D535" s="10" t="s">
        <v>700</v>
      </c>
      <c r="E535" s="11" t="n">
        <v>1199</v>
      </c>
      <c r="F535" s="11" t="n">
        <v>699</v>
      </c>
      <c r="G535" s="12" t="n">
        <v>0.42</v>
      </c>
      <c r="H535" s="13" t="n">
        <v>4</v>
      </c>
      <c r="I535" s="11" t="n">
        <v>14404</v>
      </c>
      <c r="J535" s="11" t="n">
        <f aca="false">E535-F535</f>
        <v>500</v>
      </c>
      <c r="K535" s="10" t="str">
        <f aca="false">IF(G535&lt;0.2,"0-19%",IF(G535&lt;0.4,"20-39%",IF(G535&lt;0.6,"40-59%",IF(G535&lt;0.8,"60-79%","80%+"))))</f>
        <v>40-59%</v>
      </c>
      <c r="L535" s="10" t="str">
        <f aca="false">IF(H535="","No rating",IF(H535&lt;3.5,"Below 3.5",IF(H535&lt;4,"3.5-3.9",IF(H535&lt;4.5,"4.0-4.4","4.5+"))))</f>
        <v>4.0-4.4</v>
      </c>
    </row>
    <row r="536" customFormat="false" ht="15" hidden="false" customHeight="false" outlineLevel="0" collapsed="false">
      <c r="A536" s="10" t="s">
        <v>1084</v>
      </c>
      <c r="B536" s="10" t="s">
        <v>1085</v>
      </c>
      <c r="C536" s="10" t="s">
        <v>48</v>
      </c>
      <c r="D536" s="10" t="s">
        <v>700</v>
      </c>
      <c r="E536" s="11" t="n">
        <v>999</v>
      </c>
      <c r="F536" s="11" t="n">
        <v>99</v>
      </c>
      <c r="G536" s="12" t="n">
        <v>0.9</v>
      </c>
      <c r="H536" s="13" t="n">
        <v>4.4</v>
      </c>
      <c r="I536" s="11" t="n">
        <v>305</v>
      </c>
      <c r="J536" s="11" t="n">
        <f aca="false">E536-F536</f>
        <v>900</v>
      </c>
      <c r="K536" s="10" t="str">
        <f aca="false">IF(G536&lt;0.2,"0-19%",IF(G536&lt;0.4,"20-39%",IF(G536&lt;0.6,"40-59%",IF(G536&lt;0.8,"60-79%","80%+"))))</f>
        <v>80%+</v>
      </c>
      <c r="L536" s="10" t="str">
        <f aca="false">IF(H536="","No rating",IF(H536&lt;3.5,"Below 3.5",IF(H536&lt;4,"3.5-3.9",IF(H536&lt;4.5,"4.0-4.4","4.5+"))))</f>
        <v>4.0-4.4</v>
      </c>
    </row>
    <row r="537" customFormat="false" ht="15" hidden="false" customHeight="false" outlineLevel="0" collapsed="false">
      <c r="A537" s="10" t="s">
        <v>1086</v>
      </c>
      <c r="B537" s="10" t="s">
        <v>1087</v>
      </c>
      <c r="C537" s="10" t="s">
        <v>48</v>
      </c>
      <c r="D537" s="10" t="s">
        <v>700</v>
      </c>
      <c r="E537" s="11" t="n">
        <v>9999</v>
      </c>
      <c r="F537" s="11" t="n">
        <v>7915</v>
      </c>
      <c r="G537" s="12" t="n">
        <v>0.21</v>
      </c>
      <c r="H537" s="13" t="n">
        <v>4.3</v>
      </c>
      <c r="I537" s="11" t="n">
        <v>1376</v>
      </c>
      <c r="J537" s="11" t="n">
        <f aca="false">E537-F537</f>
        <v>2084</v>
      </c>
      <c r="K537" s="10" t="str">
        <f aca="false">IF(G537&lt;0.2,"0-19%",IF(G537&lt;0.4,"20-39%",IF(G537&lt;0.6,"40-59%",IF(G537&lt;0.8,"60-79%","80%+"))))</f>
        <v>20-39%</v>
      </c>
      <c r="L537" s="10" t="str">
        <f aca="false">IF(H537="","No rating",IF(H537&lt;3.5,"Below 3.5",IF(H537&lt;4,"3.5-3.9",IF(H537&lt;4.5,"4.0-4.4","4.5+"))))</f>
        <v>4.0-4.4</v>
      </c>
    </row>
    <row r="538" customFormat="false" ht="15" hidden="false" customHeight="false" outlineLevel="0" collapsed="false">
      <c r="A538" s="10" t="s">
        <v>1088</v>
      </c>
      <c r="B538" s="10" t="s">
        <v>1089</v>
      </c>
      <c r="C538" s="10" t="s">
        <v>48</v>
      </c>
      <c r="D538" s="10" t="s">
        <v>693</v>
      </c>
      <c r="E538" s="11" t="n">
        <v>7999</v>
      </c>
      <c r="F538" s="11" t="n">
        <v>1499</v>
      </c>
      <c r="G538" s="12" t="n">
        <v>0.81</v>
      </c>
      <c r="H538" s="13" t="n">
        <v>4.2</v>
      </c>
      <c r="I538" s="11" t="n">
        <v>22638</v>
      </c>
      <c r="J538" s="11" t="n">
        <f aca="false">E538-F538</f>
        <v>6500</v>
      </c>
      <c r="K538" s="10" t="str">
        <f aca="false">IF(G538&lt;0.2,"0-19%",IF(G538&lt;0.4,"20-39%",IF(G538&lt;0.6,"40-59%",IF(G538&lt;0.8,"60-79%","80%+"))))</f>
        <v>80%+</v>
      </c>
      <c r="L538" s="10" t="str">
        <f aca="false">IF(H538="","No rating",IF(H538&lt;3.5,"Below 3.5",IF(H538&lt;4,"3.5-3.9",IF(H538&lt;4.5,"4.0-4.4","4.5+"))))</f>
        <v>4.0-4.4</v>
      </c>
    </row>
    <row r="539" customFormat="false" ht="15" hidden="false" customHeight="false" outlineLevel="0" collapsed="false">
      <c r="A539" s="10" t="s">
        <v>1090</v>
      </c>
      <c r="B539" s="10" t="s">
        <v>1091</v>
      </c>
      <c r="C539" s="10" t="s">
        <v>48</v>
      </c>
      <c r="D539" s="10" t="s">
        <v>700</v>
      </c>
      <c r="E539" s="11" t="n">
        <v>1249</v>
      </c>
      <c r="F539" s="11" t="n">
        <v>1055</v>
      </c>
      <c r="G539" s="12" t="n">
        <v>0.16</v>
      </c>
      <c r="H539" s="13" t="n">
        <v>3.8</v>
      </c>
      <c r="I539" s="11" t="n">
        <v>2352</v>
      </c>
      <c r="J539" s="11" t="n">
        <f aca="false">E539-F539</f>
        <v>194</v>
      </c>
      <c r="K539" s="10" t="str">
        <f aca="false">IF(G539&lt;0.2,"0-19%",IF(G539&lt;0.4,"20-39%",IF(G539&lt;0.6,"40-59%",IF(G539&lt;0.8,"60-79%","80%+"))))</f>
        <v>0-19%</v>
      </c>
      <c r="L539" s="10" t="str">
        <f aca="false">IF(H539="","No rating",IF(H539&lt;3.5,"Below 3.5",IF(H539&lt;4,"3.5-3.9",IF(H539&lt;4.5,"4.0-4.4","4.5+"))))</f>
        <v>3.5-3.9</v>
      </c>
    </row>
    <row r="540" customFormat="false" ht="15" hidden="false" customHeight="false" outlineLevel="0" collapsed="false">
      <c r="A540" s="10" t="s">
        <v>1092</v>
      </c>
      <c r="B540" s="10" t="s">
        <v>1093</v>
      </c>
      <c r="C540" s="10" t="s">
        <v>48</v>
      </c>
      <c r="D540" s="10" t="s">
        <v>700</v>
      </c>
      <c r="E540" s="11" t="n">
        <v>599</v>
      </c>
      <c r="F540" s="11" t="n">
        <v>150</v>
      </c>
      <c r="G540" s="12" t="n">
        <v>0.75</v>
      </c>
      <c r="H540" s="13" t="n">
        <v>4.3</v>
      </c>
      <c r="I540" s="11" t="n">
        <v>714</v>
      </c>
      <c r="J540" s="11" t="n">
        <f aca="false">E540-F540</f>
        <v>449</v>
      </c>
      <c r="K540" s="10" t="str">
        <f aca="false">IF(G540&lt;0.2,"0-19%",IF(G540&lt;0.4,"20-39%",IF(G540&lt;0.6,"40-59%",IF(G540&lt;0.8,"60-79%","80%+"))))</f>
        <v>60-79%</v>
      </c>
      <c r="L540" s="10" t="str">
        <f aca="false">IF(H540="","No rating",IF(H540&lt;3.5,"Below 3.5",IF(H540&lt;4,"3.5-3.9",IF(H540&lt;4.5,"4.0-4.4","4.5+"))))</f>
        <v>4.0-4.4</v>
      </c>
    </row>
    <row r="541" customFormat="false" ht="15" hidden="false" customHeight="false" outlineLevel="0" collapsed="false">
      <c r="A541" s="10" t="s">
        <v>1094</v>
      </c>
      <c r="B541" s="10" t="s">
        <v>1095</v>
      </c>
      <c r="C541" s="10" t="s">
        <v>48</v>
      </c>
      <c r="D541" s="10" t="s">
        <v>700</v>
      </c>
      <c r="E541" s="11" t="n">
        <v>1799</v>
      </c>
      <c r="F541" s="11" t="n">
        <v>474</v>
      </c>
      <c r="G541" s="12" t="n">
        <v>0.74</v>
      </c>
      <c r="H541" s="13" t="n">
        <v>4.3</v>
      </c>
      <c r="I541" s="11" t="n">
        <v>1454</v>
      </c>
      <c r="J541" s="11" t="n">
        <f aca="false">E541-F541</f>
        <v>1325</v>
      </c>
      <c r="K541" s="10" t="str">
        <f aca="false">IF(G541&lt;0.2,"0-19%",IF(G541&lt;0.4,"20-39%",IF(G541&lt;0.6,"40-59%",IF(G541&lt;0.8,"60-79%","80%+"))))</f>
        <v>60-79%</v>
      </c>
      <c r="L541" s="10" t="str">
        <f aca="false">IF(H541="","No rating",IF(H541&lt;3.5,"Below 3.5",IF(H541&lt;4,"3.5-3.9",IF(H541&lt;4.5,"4.0-4.4","4.5+"))))</f>
        <v>4.0-4.4</v>
      </c>
    </row>
    <row r="542" customFormat="false" ht="15" hidden="false" customHeight="false" outlineLevel="0" collapsed="false">
      <c r="A542" s="10" t="s">
        <v>1096</v>
      </c>
      <c r="B542" s="10" t="s">
        <v>1097</v>
      </c>
      <c r="C542" s="10" t="s">
        <v>48</v>
      </c>
      <c r="D542" s="10" t="s">
        <v>700</v>
      </c>
      <c r="E542" s="11" t="n">
        <v>599</v>
      </c>
      <c r="F542" s="11" t="n">
        <v>239</v>
      </c>
      <c r="G542" s="12" t="n">
        <v>0.6</v>
      </c>
      <c r="H542" s="13" t="n">
        <v>3.9</v>
      </c>
      <c r="I542" s="11" t="n">
        <v>2147</v>
      </c>
      <c r="J542" s="11" t="n">
        <f aca="false">E542-F542</f>
        <v>360</v>
      </c>
      <c r="K542" s="10" t="str">
        <f aca="false">IF(G542&lt;0.2,"0-19%",IF(G542&lt;0.4,"20-39%",IF(G542&lt;0.6,"40-59%",IF(G542&lt;0.8,"60-79%","80%+"))))</f>
        <v>60-79%</v>
      </c>
      <c r="L542" s="10" t="str">
        <f aca="false">IF(H542="","No rating",IF(H542&lt;3.5,"Below 3.5",IF(H542&lt;4,"3.5-3.9",IF(H542&lt;4.5,"4.0-4.4","4.5+"))))</f>
        <v>3.5-3.9</v>
      </c>
    </row>
    <row r="543" customFormat="false" ht="15" hidden="false" customHeight="false" outlineLevel="0" collapsed="false">
      <c r="A543" s="10" t="s">
        <v>1098</v>
      </c>
      <c r="B543" s="10" t="s">
        <v>1099</v>
      </c>
      <c r="C543" s="10" t="s">
        <v>48</v>
      </c>
      <c r="D543" s="10" t="s">
        <v>700</v>
      </c>
      <c r="E543" s="11" t="n">
        <v>9499</v>
      </c>
      <c r="F543" s="11" t="n">
        <v>7499</v>
      </c>
      <c r="G543" s="12" t="n">
        <v>0.21</v>
      </c>
      <c r="H543" s="13" t="n">
        <v>4.1</v>
      </c>
      <c r="I543" s="11" t="n">
        <v>313832</v>
      </c>
      <c r="J543" s="11" t="n">
        <f aca="false">E543-F543</f>
        <v>2000</v>
      </c>
      <c r="K543" s="10" t="str">
        <f aca="false">IF(G543&lt;0.2,"0-19%",IF(G543&lt;0.4,"20-39%",IF(G543&lt;0.6,"40-59%",IF(G543&lt;0.8,"60-79%","80%+"))))</f>
        <v>20-39%</v>
      </c>
      <c r="L543" s="10" t="str">
        <f aca="false">IF(H543="","No rating",IF(H543&lt;3.5,"Below 3.5",IF(H543&lt;4,"3.5-3.9",IF(H543&lt;4.5,"4.0-4.4","4.5+"))))</f>
        <v>4.0-4.4</v>
      </c>
    </row>
    <row r="544" customFormat="false" ht="15" hidden="false" customHeight="false" outlineLevel="0" collapsed="false">
      <c r="A544" s="10" t="s">
        <v>1100</v>
      </c>
      <c r="B544" s="10" t="s">
        <v>1101</v>
      </c>
      <c r="C544" s="10" t="s">
        <v>48</v>
      </c>
      <c r="D544" s="10" t="s">
        <v>693</v>
      </c>
      <c r="E544" s="11" t="n">
        <v>999</v>
      </c>
      <c r="F544" s="11" t="n">
        <v>265</v>
      </c>
      <c r="G544" s="12" t="n">
        <v>0.73</v>
      </c>
      <c r="H544" s="13" t="n">
        <v>3.7</v>
      </c>
      <c r="I544" s="11" t="n">
        <v>465</v>
      </c>
      <c r="J544" s="11" t="n">
        <f aca="false">E544-F544</f>
        <v>734</v>
      </c>
      <c r="K544" s="10" t="str">
        <f aca="false">IF(G544&lt;0.2,"0-19%",IF(G544&lt;0.4,"20-39%",IF(G544&lt;0.6,"40-59%",IF(G544&lt;0.8,"60-79%","80%+"))))</f>
        <v>60-79%</v>
      </c>
      <c r="L544" s="10" t="str">
        <f aca="false">IF(H544="","No rating",IF(H544&lt;3.5,"Below 3.5",IF(H544&lt;4,"3.5-3.9",IF(H544&lt;4.5,"4.0-4.4","4.5+"))))</f>
        <v>3.5-3.9</v>
      </c>
    </row>
    <row r="545" customFormat="false" ht="15" hidden="false" customHeight="false" outlineLevel="0" collapsed="false">
      <c r="A545" s="10" t="s">
        <v>1102</v>
      </c>
      <c r="B545" s="10" t="s">
        <v>1103</v>
      </c>
      <c r="C545" s="10" t="s">
        <v>48</v>
      </c>
      <c r="D545" s="10" t="s">
        <v>700</v>
      </c>
      <c r="E545" s="11" t="n">
        <v>74999</v>
      </c>
      <c r="F545" s="11" t="n">
        <v>37990</v>
      </c>
      <c r="G545" s="12" t="n">
        <v>0.49</v>
      </c>
      <c r="H545" s="13" t="n">
        <v>4.2</v>
      </c>
      <c r="I545" s="11" t="n">
        <v>27790</v>
      </c>
      <c r="J545" s="11" t="n">
        <f aca="false">E545-F545</f>
        <v>37009</v>
      </c>
      <c r="K545" s="10" t="str">
        <f aca="false">IF(G545&lt;0.2,"0-19%",IF(G545&lt;0.4,"20-39%",IF(G545&lt;0.6,"40-59%",IF(G545&lt;0.8,"60-79%","80%+"))))</f>
        <v>40-59%</v>
      </c>
      <c r="L545" s="10" t="str">
        <f aca="false">IF(H545="","No rating",IF(H545&lt;3.5,"Below 3.5",IF(H545&lt;4,"3.5-3.9",IF(H545&lt;4.5,"4.0-4.4","4.5+"))))</f>
        <v>4.0-4.4</v>
      </c>
    </row>
    <row r="546" customFormat="false" ht="15" hidden="false" customHeight="false" outlineLevel="0" collapsed="false">
      <c r="A546" s="10" t="s">
        <v>1104</v>
      </c>
      <c r="B546" s="10" t="s">
        <v>1105</v>
      </c>
      <c r="C546" s="10" t="s">
        <v>48</v>
      </c>
      <c r="D546" s="10" t="s">
        <v>700</v>
      </c>
      <c r="E546" s="11" t="n">
        <v>3999</v>
      </c>
      <c r="F546" s="11" t="n">
        <v>1799</v>
      </c>
      <c r="G546" s="12" t="n">
        <v>0.55</v>
      </c>
      <c r="H546" s="13" t="n">
        <v>4.6</v>
      </c>
      <c r="I546" s="11" t="n">
        <v>245</v>
      </c>
      <c r="J546" s="11" t="n">
        <f aca="false">E546-F546</f>
        <v>2200</v>
      </c>
      <c r="K546" s="10" t="str">
        <f aca="false">IF(G546&lt;0.2,"0-19%",IF(G546&lt;0.4,"20-39%",IF(G546&lt;0.6,"40-59%",IF(G546&lt;0.8,"60-79%","80%+"))))</f>
        <v>40-59%</v>
      </c>
      <c r="L546" s="10" t="str">
        <f aca="false">IF(H546="","No rating",IF(H546&lt;3.5,"Below 3.5",IF(H546&lt;4,"3.5-3.9",IF(H546&lt;4.5,"4.0-4.4","4.5+"))))</f>
        <v>4.5+</v>
      </c>
    </row>
    <row r="547" customFormat="false" ht="15" hidden="false" customHeight="false" outlineLevel="0" collapsed="false">
      <c r="A547" s="10" t="s">
        <v>1106</v>
      </c>
      <c r="B547" s="10" t="s">
        <v>1107</v>
      </c>
      <c r="C547" s="10" t="s">
        <v>48</v>
      </c>
      <c r="D547" s="10" t="s">
        <v>700</v>
      </c>
      <c r="E547" s="11" t="n">
        <v>11999</v>
      </c>
      <c r="F547" s="11" t="n">
        <v>8499</v>
      </c>
      <c r="G547" s="12" t="n">
        <v>0.29</v>
      </c>
      <c r="H547" s="13" t="n">
        <v>3.9</v>
      </c>
      <c r="I547" s="11" t="n">
        <v>276</v>
      </c>
      <c r="J547" s="11" t="n">
        <f aca="false">E547-F547</f>
        <v>3500</v>
      </c>
      <c r="K547" s="10" t="str">
        <f aca="false">IF(G547&lt;0.2,"0-19%",IF(G547&lt;0.4,"20-39%",IF(G547&lt;0.6,"40-59%",IF(G547&lt;0.8,"60-79%","80%+"))))</f>
        <v>20-39%</v>
      </c>
      <c r="L547" s="10" t="str">
        <f aca="false">IF(H547="","No rating",IF(H547&lt;3.5,"Below 3.5",IF(H547&lt;4,"3.5-3.9",IF(H547&lt;4.5,"4.0-4.4","4.5+"))))</f>
        <v>3.5-3.9</v>
      </c>
    </row>
    <row r="548" customFormat="false" ht="15" hidden="false" customHeight="false" outlineLevel="0" collapsed="false">
      <c r="A548" s="10" t="s">
        <v>1108</v>
      </c>
      <c r="B548" s="10" t="s">
        <v>1109</v>
      </c>
      <c r="C548" s="10" t="s">
        <v>48</v>
      </c>
      <c r="D548" s="10" t="s">
        <v>693</v>
      </c>
      <c r="E548" s="11" t="n">
        <v>3999</v>
      </c>
      <c r="F548" s="11" t="n">
        <v>1999</v>
      </c>
      <c r="G548" s="12" t="n">
        <v>0.5</v>
      </c>
      <c r="H548" s="13" t="n">
        <v>4</v>
      </c>
      <c r="I548" s="11" t="n">
        <v>30254</v>
      </c>
      <c r="J548" s="11" t="n">
        <f aca="false">E548-F548</f>
        <v>2000</v>
      </c>
      <c r="K548" s="10" t="str">
        <f aca="false">IF(G548&lt;0.2,"0-19%",IF(G548&lt;0.4,"20-39%",IF(G548&lt;0.6,"40-59%",IF(G548&lt;0.8,"60-79%","80%+"))))</f>
        <v>40-59%</v>
      </c>
      <c r="L548" s="10" t="str">
        <f aca="false">IF(H548="","No rating",IF(H548&lt;3.5,"Below 3.5",IF(H548&lt;4,"3.5-3.9",IF(H548&lt;4.5,"4.0-4.4","4.5+"))))</f>
        <v>4.0-4.4</v>
      </c>
    </row>
    <row r="549" customFormat="false" ht="15" hidden="false" customHeight="false" outlineLevel="0" collapsed="false">
      <c r="A549" s="10" t="s">
        <v>1110</v>
      </c>
      <c r="B549" s="10" t="s">
        <v>773</v>
      </c>
      <c r="C549" s="10" t="s">
        <v>48</v>
      </c>
      <c r="D549" s="10" t="s">
        <v>693</v>
      </c>
      <c r="E549" s="11" t="n">
        <v>17999</v>
      </c>
      <c r="F549" s="11" t="n">
        <v>3999</v>
      </c>
      <c r="G549" s="12" t="n">
        <v>0.78</v>
      </c>
      <c r="H549" s="13" t="n">
        <v>4.3</v>
      </c>
      <c r="I549" s="11" t="n">
        <v>17161</v>
      </c>
      <c r="J549" s="11" t="n">
        <f aca="false">E549-F549</f>
        <v>14000</v>
      </c>
      <c r="K549" s="10" t="str">
        <f aca="false">IF(G549&lt;0.2,"0-19%",IF(G549&lt;0.4,"20-39%",IF(G549&lt;0.6,"40-59%",IF(G549&lt;0.8,"60-79%","80%+"))))</f>
        <v>60-79%</v>
      </c>
      <c r="L549" s="10" t="str">
        <f aca="false">IF(H549="","No rating",IF(H549&lt;3.5,"Below 3.5",IF(H549&lt;4,"3.5-3.9",IF(H549&lt;4.5,"4.0-4.4","4.5+"))))</f>
        <v>4.0-4.4</v>
      </c>
    </row>
    <row r="550" customFormat="false" ht="15" hidden="false" customHeight="false" outlineLevel="0" collapsed="false">
      <c r="A550" s="10" t="s">
        <v>1111</v>
      </c>
      <c r="B550" s="10" t="s">
        <v>1112</v>
      </c>
      <c r="C550" s="10" t="s">
        <v>48</v>
      </c>
      <c r="D550" s="10" t="s">
        <v>700</v>
      </c>
      <c r="E550" s="11" t="n">
        <v>499</v>
      </c>
      <c r="F550" s="11" t="n">
        <v>219</v>
      </c>
      <c r="G550" s="12" t="n">
        <v>0.56</v>
      </c>
      <c r="H550" s="13" t="n">
        <v>4.4</v>
      </c>
      <c r="I550" s="11" t="n">
        <v>14</v>
      </c>
      <c r="J550" s="11" t="n">
        <f aca="false">E550-F550</f>
        <v>280</v>
      </c>
      <c r="K550" s="10" t="str">
        <f aca="false">IF(G550&lt;0.2,"0-19%",IF(G550&lt;0.4,"20-39%",IF(G550&lt;0.6,"40-59%",IF(G550&lt;0.8,"60-79%","80%+"))))</f>
        <v>40-59%</v>
      </c>
      <c r="L550" s="10" t="str">
        <f aca="false">IF(H550="","No rating",IF(H550&lt;3.5,"Below 3.5",IF(H550&lt;4,"3.5-3.9",IF(H550&lt;4.5,"4.0-4.4","4.5+"))))</f>
        <v>4.0-4.4</v>
      </c>
    </row>
    <row r="551" customFormat="false" ht="15" hidden="false" customHeight="false" outlineLevel="0" collapsed="false">
      <c r="A551" s="10" t="s">
        <v>1113</v>
      </c>
      <c r="B551" s="10" t="s">
        <v>1114</v>
      </c>
      <c r="C551" s="10" t="s">
        <v>48</v>
      </c>
      <c r="D551" s="10" t="s">
        <v>700</v>
      </c>
      <c r="E551" s="11" t="n">
        <v>1399</v>
      </c>
      <c r="F551" s="11" t="n">
        <v>599</v>
      </c>
      <c r="G551" s="12" t="n">
        <v>0.57</v>
      </c>
      <c r="H551" s="13" t="n">
        <v>4.1</v>
      </c>
      <c r="I551" s="11" t="n">
        <v>14560</v>
      </c>
      <c r="J551" s="11" t="n">
        <f aca="false">E551-F551</f>
        <v>800</v>
      </c>
      <c r="K551" s="10" t="str">
        <f aca="false">IF(G551&lt;0.2,"0-19%",IF(G551&lt;0.4,"20-39%",IF(G551&lt;0.6,"40-59%",IF(G551&lt;0.8,"60-79%","80%+"))))</f>
        <v>40-59%</v>
      </c>
      <c r="L551" s="10" t="str">
        <f aca="false">IF(H551="","No rating",IF(H551&lt;3.5,"Below 3.5",IF(H551&lt;4,"3.5-3.9",IF(H551&lt;4.5,"4.0-4.4","4.5+"))))</f>
        <v>4.0-4.4</v>
      </c>
    </row>
    <row r="552" customFormat="false" ht="15" hidden="false" customHeight="false" outlineLevel="0" collapsed="false">
      <c r="A552" s="10" t="s">
        <v>1115</v>
      </c>
      <c r="B552" s="10" t="s">
        <v>1116</v>
      </c>
      <c r="C552" s="10" t="s">
        <v>48</v>
      </c>
      <c r="D552" s="10" t="s">
        <v>700</v>
      </c>
      <c r="E552" s="11" t="n">
        <v>2999</v>
      </c>
      <c r="F552" s="11" t="n">
        <v>2499</v>
      </c>
      <c r="G552" s="12" t="n">
        <v>0.17</v>
      </c>
      <c r="H552" s="13" t="n">
        <v>4.1</v>
      </c>
      <c r="I552" s="11" t="n">
        <v>3156</v>
      </c>
      <c r="J552" s="11" t="n">
        <f aca="false">E552-F552</f>
        <v>500</v>
      </c>
      <c r="K552" s="10" t="str">
        <f aca="false">IF(G552&lt;0.2,"0-19%",IF(G552&lt;0.4,"20-39%",IF(G552&lt;0.6,"40-59%",IF(G552&lt;0.8,"60-79%","80%+"))))</f>
        <v>0-19%</v>
      </c>
      <c r="L552" s="10" t="str">
        <f aca="false">IF(H552="","No rating",IF(H552&lt;3.5,"Below 3.5",IF(H552&lt;4,"3.5-3.9",IF(H552&lt;4.5,"4.0-4.4","4.5+"))))</f>
        <v>4.0-4.4</v>
      </c>
    </row>
    <row r="553" customFormat="false" ht="15" hidden="false" customHeight="false" outlineLevel="0" collapsed="false">
      <c r="A553" s="10" t="s">
        <v>1117</v>
      </c>
      <c r="B553" s="10" t="s">
        <v>1118</v>
      </c>
      <c r="C553" s="10" t="s">
        <v>48</v>
      </c>
      <c r="D553" s="10" t="s">
        <v>700</v>
      </c>
      <c r="E553" s="11" t="n">
        <v>499</v>
      </c>
      <c r="F553" s="11" t="n">
        <v>89</v>
      </c>
      <c r="G553" s="12" t="n">
        <v>0.82</v>
      </c>
      <c r="H553" s="13" t="n">
        <v>4.1</v>
      </c>
      <c r="I553" s="11" t="n">
        <v>9340</v>
      </c>
      <c r="J553" s="11" t="n">
        <f aca="false">E553-F553</f>
        <v>410</v>
      </c>
      <c r="K553" s="10" t="str">
        <f aca="false">IF(G553&lt;0.2,"0-19%",IF(G553&lt;0.4,"20-39%",IF(G553&lt;0.6,"40-59%",IF(G553&lt;0.8,"60-79%","80%+"))))</f>
        <v>80%+</v>
      </c>
      <c r="L553" s="10" t="str">
        <f aca="false">IF(H553="","No rating",IF(H553&lt;3.5,"Below 3.5",IF(H553&lt;4,"3.5-3.9",IF(H553&lt;4.5,"4.0-4.4","4.5+"))))</f>
        <v>4.0-4.4</v>
      </c>
    </row>
    <row r="554" customFormat="false" ht="15" hidden="false" customHeight="false" outlineLevel="0" collapsed="false">
      <c r="A554" s="10" t="s">
        <v>1119</v>
      </c>
      <c r="B554" s="10" t="s">
        <v>1120</v>
      </c>
      <c r="C554" s="10" t="s">
        <v>48</v>
      </c>
      <c r="D554" s="10" t="s">
        <v>693</v>
      </c>
      <c r="E554" s="11" t="n">
        <v>11999</v>
      </c>
      <c r="F554" s="11" t="n">
        <v>2999</v>
      </c>
      <c r="G554" s="12" t="n">
        <v>0.75</v>
      </c>
      <c r="H554" s="13" t="n">
        <v>4.4</v>
      </c>
      <c r="I554" s="11" t="n">
        <v>768</v>
      </c>
      <c r="J554" s="11" t="n">
        <f aca="false">E554-F554</f>
        <v>9000</v>
      </c>
      <c r="K554" s="10" t="str">
        <f aca="false">IF(G554&lt;0.2,"0-19%",IF(G554&lt;0.4,"20-39%",IF(G554&lt;0.6,"40-59%",IF(G554&lt;0.8,"60-79%","80%+"))))</f>
        <v>60-79%</v>
      </c>
      <c r="L554" s="10" t="str">
        <f aca="false">IF(H554="","No rating",IF(H554&lt;3.5,"Below 3.5",IF(H554&lt;4,"3.5-3.9",IF(H554&lt;4.5,"4.0-4.4","4.5+"))))</f>
        <v>4.0-4.4</v>
      </c>
    </row>
    <row r="555" customFormat="false" ht="15" hidden="false" customHeight="false" outlineLevel="0" collapsed="false">
      <c r="A555" s="10" t="s">
        <v>1121</v>
      </c>
      <c r="B555" s="10" t="s">
        <v>1122</v>
      </c>
      <c r="C555" s="10" t="s">
        <v>48</v>
      </c>
      <c r="D555" s="10" t="s">
        <v>700</v>
      </c>
      <c r="E555" s="11" t="n">
        <v>1499</v>
      </c>
      <c r="F555" s="11" t="n">
        <v>314</v>
      </c>
      <c r="G555" s="12" t="n">
        <v>0.79</v>
      </c>
      <c r="H555" s="13" t="n">
        <v>4.5</v>
      </c>
      <c r="I555" s="11" t="n">
        <v>28978</v>
      </c>
      <c r="J555" s="11" t="n">
        <f aca="false">E555-F555</f>
        <v>1185</v>
      </c>
      <c r="K555" s="10" t="str">
        <f aca="false">IF(G555&lt;0.2,"0-19%",IF(G555&lt;0.4,"20-39%",IF(G555&lt;0.6,"40-59%",IF(G555&lt;0.8,"60-79%","80%+"))))</f>
        <v>60-79%</v>
      </c>
      <c r="L555" s="10" t="str">
        <f aca="false">IF(H555="","No rating",IF(H555&lt;3.5,"Below 3.5",IF(H555&lt;4,"3.5-3.9",IF(H555&lt;4.5,"4.0-4.4","4.5+"))))</f>
        <v>4.5+</v>
      </c>
    </row>
    <row r="556" customFormat="false" ht="15" hidden="false" customHeight="false" outlineLevel="0" collapsed="false">
      <c r="A556" s="10" t="s">
        <v>1123</v>
      </c>
      <c r="B556" s="10" t="s">
        <v>1124</v>
      </c>
      <c r="C556" s="10" t="s">
        <v>48</v>
      </c>
      <c r="D556" s="10" t="s">
        <v>700</v>
      </c>
      <c r="E556" s="11" t="n">
        <v>19499</v>
      </c>
      <c r="F556" s="11" t="n">
        <v>13999</v>
      </c>
      <c r="G556" s="12" t="n">
        <v>0.28</v>
      </c>
      <c r="H556" s="13" t="n">
        <v>4.1</v>
      </c>
      <c r="I556" s="11" t="n">
        <v>18998</v>
      </c>
      <c r="J556" s="11" t="n">
        <f aca="false">E556-F556</f>
        <v>5500</v>
      </c>
      <c r="K556" s="10" t="str">
        <f aca="false">IF(G556&lt;0.2,"0-19%",IF(G556&lt;0.4,"20-39%",IF(G556&lt;0.6,"40-59%",IF(G556&lt;0.8,"60-79%","80%+"))))</f>
        <v>20-39%</v>
      </c>
      <c r="L556" s="10" t="str">
        <f aca="false">IF(H556="","No rating",IF(H556&lt;3.5,"Below 3.5",IF(H556&lt;4,"3.5-3.9",IF(H556&lt;4.5,"4.0-4.4","4.5+"))))</f>
        <v>4.0-4.4</v>
      </c>
    </row>
    <row r="557" customFormat="false" ht="15" hidden="false" customHeight="false" outlineLevel="0" collapsed="false">
      <c r="A557" s="10" t="s">
        <v>1125</v>
      </c>
      <c r="B557" s="10" t="s">
        <v>1126</v>
      </c>
      <c r="C557" s="10" t="s">
        <v>48</v>
      </c>
      <c r="D557" s="10" t="s">
        <v>700</v>
      </c>
      <c r="E557" s="11" t="n">
        <v>499</v>
      </c>
      <c r="F557" s="11" t="n">
        <v>139</v>
      </c>
      <c r="G557" s="12" t="n">
        <v>0.72</v>
      </c>
      <c r="H557" s="13" t="n">
        <v>4.2</v>
      </c>
      <c r="I557" s="11" t="n">
        <v>4971</v>
      </c>
      <c r="J557" s="11" t="n">
        <f aca="false">E557-F557</f>
        <v>360</v>
      </c>
      <c r="K557" s="10" t="str">
        <f aca="false">IF(G557&lt;0.2,"0-19%",IF(G557&lt;0.4,"20-39%",IF(G557&lt;0.6,"40-59%",IF(G557&lt;0.8,"60-79%","80%+"))))</f>
        <v>60-79%</v>
      </c>
      <c r="L557" s="10" t="str">
        <f aca="false">IF(H557="","No rating",IF(H557&lt;3.5,"Below 3.5",IF(H557&lt;4,"3.5-3.9",IF(H557&lt;4.5,"4.0-4.4","4.5+"))))</f>
        <v>4.0-4.4</v>
      </c>
    </row>
    <row r="558" customFormat="false" ht="15" hidden="false" customHeight="false" outlineLevel="0" collapsed="false">
      <c r="A558" s="10" t="s">
        <v>1127</v>
      </c>
      <c r="B558" s="10" t="s">
        <v>1128</v>
      </c>
      <c r="C558" s="10" t="s">
        <v>48</v>
      </c>
      <c r="D558" s="10" t="s">
        <v>700</v>
      </c>
      <c r="E558" s="11" t="n">
        <v>6999</v>
      </c>
      <c r="F558" s="11" t="n">
        <v>2599</v>
      </c>
      <c r="G558" s="12" t="n">
        <v>0.63</v>
      </c>
      <c r="H558" s="13" t="n">
        <v>4.5</v>
      </c>
      <c r="I558" s="11" t="n">
        <v>1526</v>
      </c>
      <c r="J558" s="11" t="n">
        <f aca="false">E558-F558</f>
        <v>4400</v>
      </c>
      <c r="K558" s="10" t="str">
        <f aca="false">IF(G558&lt;0.2,"0-19%",IF(G558&lt;0.4,"20-39%",IF(G558&lt;0.6,"40-59%",IF(G558&lt;0.8,"60-79%","80%+"))))</f>
        <v>60-79%</v>
      </c>
      <c r="L558" s="10" t="str">
        <f aca="false">IF(H558="","No rating",IF(H558&lt;3.5,"Below 3.5",IF(H558&lt;4,"3.5-3.9",IF(H558&lt;4.5,"4.0-4.4","4.5+"))))</f>
        <v>4.5+</v>
      </c>
    </row>
    <row r="559" customFormat="false" ht="15" hidden="false" customHeight="false" outlineLevel="0" collapsed="false">
      <c r="A559" s="10" t="s">
        <v>1129</v>
      </c>
      <c r="B559" s="10" t="s">
        <v>1130</v>
      </c>
      <c r="C559" s="10" t="s">
        <v>48</v>
      </c>
      <c r="D559" s="10" t="s">
        <v>722</v>
      </c>
      <c r="E559" s="11" t="n">
        <v>999</v>
      </c>
      <c r="F559" s="11" t="n">
        <v>365</v>
      </c>
      <c r="G559" s="12" t="n">
        <v>0.63</v>
      </c>
      <c r="H559" s="13" t="n">
        <v>4.1</v>
      </c>
      <c r="I559" s="11" t="n">
        <v>363711</v>
      </c>
      <c r="J559" s="11" t="n">
        <f aca="false">E559-F559</f>
        <v>634</v>
      </c>
      <c r="K559" s="10" t="str">
        <f aca="false">IF(G559&lt;0.2,"0-19%",IF(G559&lt;0.4,"20-39%",IF(G559&lt;0.6,"40-59%",IF(G559&lt;0.8,"60-79%","80%+"))))</f>
        <v>60-79%</v>
      </c>
      <c r="L559" s="10" t="str">
        <f aca="false">IF(H559="","No rating",IF(H559&lt;3.5,"Below 3.5",IF(H559&lt;4,"3.5-3.9",IF(H559&lt;4.5,"4.0-4.4","4.5+"))))</f>
        <v>4.0-4.4</v>
      </c>
    </row>
    <row r="560" customFormat="false" ht="15" hidden="false" customHeight="false" outlineLevel="0" collapsed="false">
      <c r="A560" s="10" t="s">
        <v>1131</v>
      </c>
      <c r="B560" s="10" t="s">
        <v>1132</v>
      </c>
      <c r="C560" s="10" t="s">
        <v>48</v>
      </c>
      <c r="D560" s="10" t="s">
        <v>722</v>
      </c>
      <c r="E560" s="11" t="n">
        <v>4490</v>
      </c>
      <c r="F560" s="11" t="n">
        <v>1499</v>
      </c>
      <c r="G560" s="12" t="n">
        <v>0.67</v>
      </c>
      <c r="H560" s="13" t="n">
        <v>3.9</v>
      </c>
      <c r="I560" s="11" t="n">
        <v>136954</v>
      </c>
      <c r="J560" s="11" t="n">
        <f aca="false">E560-F560</f>
        <v>2991</v>
      </c>
      <c r="K560" s="10" t="str">
        <f aca="false">IF(G560&lt;0.2,"0-19%",IF(G560&lt;0.4,"20-39%",IF(G560&lt;0.6,"40-59%",IF(G560&lt;0.8,"60-79%","80%+"))))</f>
        <v>60-79%</v>
      </c>
      <c r="L560" s="10" t="str">
        <f aca="false">IF(H560="","No rating",IF(H560&lt;3.5,"Below 3.5",IF(H560&lt;4,"3.5-3.9",IF(H560&lt;4.5,"4.0-4.4","4.5+"))))</f>
        <v>3.5-3.9</v>
      </c>
    </row>
    <row r="561" customFormat="false" ht="15" hidden="false" customHeight="false" outlineLevel="0" collapsed="false">
      <c r="A561" s="10" t="s">
        <v>1133</v>
      </c>
      <c r="B561" s="10" t="s">
        <v>1134</v>
      </c>
      <c r="C561" s="10" t="s">
        <v>21</v>
      </c>
      <c r="D561" s="10" t="s">
        <v>1135</v>
      </c>
      <c r="E561" s="11" t="n">
        <v>650</v>
      </c>
      <c r="F561" s="11" t="n">
        <v>289</v>
      </c>
      <c r="G561" s="12" t="n">
        <v>0.56</v>
      </c>
      <c r="H561" s="13" t="n">
        <v>4.3</v>
      </c>
      <c r="I561" s="11" t="n">
        <v>253105</v>
      </c>
      <c r="J561" s="11" t="n">
        <f aca="false">E561-F561</f>
        <v>361</v>
      </c>
      <c r="K561" s="10" t="str">
        <f aca="false">IF(G561&lt;0.2,"0-19%",IF(G561&lt;0.4,"20-39%",IF(G561&lt;0.6,"40-59%",IF(G561&lt;0.8,"60-79%","80%+"))))</f>
        <v>40-59%</v>
      </c>
      <c r="L561" s="10" t="str">
        <f aca="false">IF(H561="","No rating",IF(H561&lt;3.5,"Below 3.5",IF(H561&lt;4,"3.5-3.9",IF(H561&lt;4.5,"4.0-4.4","4.5+"))))</f>
        <v>4.0-4.4</v>
      </c>
    </row>
    <row r="562" customFormat="false" ht="15" hidden="false" customHeight="false" outlineLevel="0" collapsed="false">
      <c r="A562" s="10" t="s">
        <v>1136</v>
      </c>
      <c r="B562" s="10" t="s">
        <v>1137</v>
      </c>
      <c r="C562" s="10" t="s">
        <v>21</v>
      </c>
      <c r="D562" s="10" t="s">
        <v>22</v>
      </c>
      <c r="E562" s="11" t="n">
        <v>895</v>
      </c>
      <c r="F562" s="11" t="n">
        <v>599</v>
      </c>
      <c r="G562" s="12" t="n">
        <v>0.33</v>
      </c>
      <c r="H562" s="13" t="n">
        <v>4.4</v>
      </c>
      <c r="I562" s="11" t="n">
        <v>61314</v>
      </c>
      <c r="J562" s="11" t="n">
        <f aca="false">E562-F562</f>
        <v>296</v>
      </c>
      <c r="K562" s="10" t="str">
        <f aca="false">IF(G562&lt;0.2,"0-19%",IF(G562&lt;0.4,"20-39%",IF(G562&lt;0.6,"40-59%",IF(G562&lt;0.8,"60-79%","80%+"))))</f>
        <v>20-39%</v>
      </c>
      <c r="L562" s="10" t="str">
        <f aca="false">IF(H562="","No rating",IF(H562&lt;3.5,"Below 3.5",IF(H562&lt;4,"3.5-3.9",IF(H562&lt;4.5,"4.0-4.4","4.5+"))))</f>
        <v>4.0-4.4</v>
      </c>
    </row>
    <row r="563" customFormat="false" ht="15" hidden="false" customHeight="false" outlineLevel="0" collapsed="false">
      <c r="A563" s="10" t="s">
        <v>1138</v>
      </c>
      <c r="B563" s="10" t="s">
        <v>1139</v>
      </c>
      <c r="C563" s="10" t="s">
        <v>21</v>
      </c>
      <c r="D563" s="10" t="s">
        <v>22</v>
      </c>
      <c r="E563" s="11" t="n">
        <v>237</v>
      </c>
      <c r="F563" s="11" t="n">
        <v>217</v>
      </c>
      <c r="G563" s="12" t="n">
        <v>0.08</v>
      </c>
      <c r="H563" s="13" t="n">
        <v>3.8</v>
      </c>
      <c r="I563" s="11" t="n">
        <v>7354</v>
      </c>
      <c r="J563" s="11" t="n">
        <f aca="false">E563-F563</f>
        <v>20</v>
      </c>
      <c r="K563" s="10" t="str">
        <f aca="false">IF(G563&lt;0.2,"0-19%",IF(G563&lt;0.4,"20-39%",IF(G563&lt;0.6,"40-59%",IF(G563&lt;0.8,"60-79%","80%+"))))</f>
        <v>0-19%</v>
      </c>
      <c r="L563" s="10" t="str">
        <f aca="false">IF(H563="","No rating",IF(H563&lt;3.5,"Below 3.5",IF(H563&lt;4,"3.5-3.9",IF(H563&lt;4.5,"4.0-4.4","4.5+"))))</f>
        <v>3.5-3.9</v>
      </c>
    </row>
    <row r="564" customFormat="false" ht="15" hidden="false" customHeight="false" outlineLevel="0" collapsed="false">
      <c r="A564" s="10" t="s">
        <v>1140</v>
      </c>
      <c r="B564" s="10" t="s">
        <v>1141</v>
      </c>
      <c r="C564" s="10" t="s">
        <v>48</v>
      </c>
      <c r="D564" s="10" t="s">
        <v>722</v>
      </c>
      <c r="E564" s="11" t="n">
        <v>2990</v>
      </c>
      <c r="F564" s="11" t="n">
        <v>1299</v>
      </c>
      <c r="G564" s="12" t="n">
        <v>0.57</v>
      </c>
      <c r="H564" s="13" t="n">
        <v>3.8</v>
      </c>
      <c r="I564" s="11" t="n">
        <v>180998</v>
      </c>
      <c r="J564" s="11" t="n">
        <f aca="false">E564-F564</f>
        <v>1691</v>
      </c>
      <c r="K564" s="10" t="str">
        <f aca="false">IF(G564&lt;0.2,"0-19%",IF(G564&lt;0.4,"20-39%",IF(G564&lt;0.6,"40-59%",IF(G564&lt;0.8,"60-79%","80%+"))))</f>
        <v>40-59%</v>
      </c>
      <c r="L564" s="10" t="str">
        <f aca="false">IF(H564="","No rating",IF(H564&lt;3.5,"Below 3.5",IF(H564&lt;4,"3.5-3.9",IF(H564&lt;4.5,"4.0-4.4","4.5+"))))</f>
        <v>3.5-3.9</v>
      </c>
    </row>
    <row r="565" customFormat="false" ht="15" hidden="false" customHeight="false" outlineLevel="0" collapsed="false">
      <c r="A565" s="10" t="s">
        <v>1142</v>
      </c>
      <c r="B565" s="10" t="s">
        <v>1143</v>
      </c>
      <c r="C565" s="10" t="s">
        <v>21</v>
      </c>
      <c r="D565" s="10" t="s">
        <v>22</v>
      </c>
      <c r="E565" s="11" t="n">
        <v>699</v>
      </c>
      <c r="F565" s="11" t="n">
        <v>263</v>
      </c>
      <c r="G565" s="12" t="n">
        <v>0.62</v>
      </c>
      <c r="H565" s="13" t="n">
        <v>3.5</v>
      </c>
      <c r="I565" s="11" t="n">
        <v>690</v>
      </c>
      <c r="J565" s="11" t="n">
        <f aca="false">E565-F565</f>
        <v>436</v>
      </c>
      <c r="K565" s="10" t="str">
        <f aca="false">IF(G565&lt;0.2,"0-19%",IF(G565&lt;0.4,"20-39%",IF(G565&lt;0.6,"40-59%",IF(G565&lt;0.8,"60-79%","80%+"))))</f>
        <v>60-79%</v>
      </c>
      <c r="L565" s="10" t="str">
        <f aca="false">IF(H565="","No rating",IF(H565&lt;3.5,"Below 3.5",IF(H565&lt;4,"3.5-3.9",IF(H565&lt;4.5,"4.0-4.4","4.5+"))))</f>
        <v>3.5-3.9</v>
      </c>
    </row>
    <row r="566" customFormat="false" ht="15" hidden="false" customHeight="false" outlineLevel="0" collapsed="false">
      <c r="A566" s="10" t="s">
        <v>1144</v>
      </c>
      <c r="B566" s="10" t="s">
        <v>1145</v>
      </c>
      <c r="C566" s="10" t="s">
        <v>48</v>
      </c>
      <c r="D566" s="10" t="s">
        <v>722</v>
      </c>
      <c r="E566" s="11" t="n">
        <v>3990</v>
      </c>
      <c r="F566" s="11" t="n">
        <v>1399</v>
      </c>
      <c r="G566" s="12" t="n">
        <v>0.65</v>
      </c>
      <c r="H566" s="13" t="n">
        <v>4.1</v>
      </c>
      <c r="I566" s="11" t="n">
        <v>141841</v>
      </c>
      <c r="J566" s="11" t="n">
        <f aca="false">E566-F566</f>
        <v>2591</v>
      </c>
      <c r="K566" s="10" t="str">
        <f aca="false">IF(G566&lt;0.2,"0-19%",IF(G566&lt;0.4,"20-39%",IF(G566&lt;0.6,"40-59%",IF(G566&lt;0.8,"60-79%","80%+"))))</f>
        <v>60-79%</v>
      </c>
      <c r="L566" s="10" t="str">
        <f aca="false">IF(H566="","No rating",IF(H566&lt;3.5,"Below 3.5",IF(H566&lt;4,"3.5-3.9",IF(H566&lt;4.5,"4.0-4.4","4.5+"))))</f>
        <v>4.0-4.4</v>
      </c>
    </row>
    <row r="567" customFormat="false" ht="15" hidden="false" customHeight="false" outlineLevel="0" collapsed="false">
      <c r="A567" s="10" t="s">
        <v>1146</v>
      </c>
      <c r="B567" s="10" t="s">
        <v>1147</v>
      </c>
      <c r="C567" s="10" t="s">
        <v>21</v>
      </c>
      <c r="D567" s="10" t="s">
        <v>22</v>
      </c>
      <c r="E567" s="11" t="n">
        <v>1499</v>
      </c>
      <c r="F567" s="11" t="n">
        <v>349</v>
      </c>
      <c r="G567" s="12" t="n">
        <v>0.77</v>
      </c>
      <c r="H567" s="13" t="n">
        <v>4.3</v>
      </c>
      <c r="I567" s="11" t="n">
        <v>24791</v>
      </c>
      <c r="J567" s="11" t="n">
        <f aca="false">E567-F567</f>
        <v>1150</v>
      </c>
      <c r="K567" s="10" t="str">
        <f aca="false">IF(G567&lt;0.2,"0-19%",IF(G567&lt;0.4,"20-39%",IF(G567&lt;0.6,"40-59%",IF(G567&lt;0.8,"60-79%","80%+"))))</f>
        <v>60-79%</v>
      </c>
      <c r="L567" s="10" t="str">
        <f aca="false">IF(H567="","No rating",IF(H567&lt;3.5,"Below 3.5",IF(H567&lt;4,"3.5-3.9",IF(H567&lt;4.5,"4.0-4.4","4.5+"))))</f>
        <v>4.0-4.4</v>
      </c>
    </row>
    <row r="568" customFormat="false" ht="15" hidden="false" customHeight="false" outlineLevel="0" collapsed="false">
      <c r="A568" s="10" t="s">
        <v>1148</v>
      </c>
      <c r="B568" s="10" t="s">
        <v>1149</v>
      </c>
      <c r="C568" s="10" t="s">
        <v>48</v>
      </c>
      <c r="D568" s="10" t="s">
        <v>722</v>
      </c>
      <c r="E568" s="11" t="n">
        <v>399</v>
      </c>
      <c r="F568" s="11" t="n">
        <v>149</v>
      </c>
      <c r="G568" s="12" t="n">
        <v>0.63</v>
      </c>
      <c r="H568" s="13" t="n">
        <v>3.5</v>
      </c>
      <c r="I568" s="11" t="n">
        <v>21764</v>
      </c>
      <c r="J568" s="11" t="n">
        <f aca="false">E568-F568</f>
        <v>250</v>
      </c>
      <c r="K568" s="10" t="str">
        <f aca="false">IF(G568&lt;0.2,"0-19%",IF(G568&lt;0.4,"20-39%",IF(G568&lt;0.6,"40-59%",IF(G568&lt;0.8,"60-79%","80%+"))))</f>
        <v>60-79%</v>
      </c>
      <c r="L568" s="10" t="str">
        <f aca="false">IF(H568="","No rating",IF(H568&lt;3.5,"Below 3.5",IF(H568&lt;4,"3.5-3.9",IF(H568&lt;4.5,"4.0-4.4","4.5+"))))</f>
        <v>3.5-3.9</v>
      </c>
    </row>
    <row r="569" customFormat="false" ht="15" hidden="false" customHeight="false" outlineLevel="0" collapsed="false">
      <c r="A569" s="10" t="s">
        <v>1150</v>
      </c>
      <c r="B569" s="10" t="s">
        <v>1151</v>
      </c>
      <c r="C569" s="10" t="s">
        <v>48</v>
      </c>
      <c r="D569" s="10" t="s">
        <v>722</v>
      </c>
      <c r="E569" s="11" t="n">
        <v>3990</v>
      </c>
      <c r="F569" s="11" t="n">
        <v>1220</v>
      </c>
      <c r="G569" s="12" t="n">
        <v>0.69</v>
      </c>
      <c r="H569" s="13" t="n">
        <v>4.1</v>
      </c>
      <c r="I569" s="11" t="n">
        <v>107151</v>
      </c>
      <c r="J569" s="11" t="n">
        <f aca="false">E569-F569</f>
        <v>2770</v>
      </c>
      <c r="K569" s="10" t="str">
        <f aca="false">IF(G569&lt;0.2,"0-19%",IF(G569&lt;0.4,"20-39%",IF(G569&lt;0.6,"40-59%",IF(G569&lt;0.8,"60-79%","80%+"))))</f>
        <v>60-79%</v>
      </c>
      <c r="L569" s="10" t="str">
        <f aca="false">IF(H569="","No rating",IF(H569&lt;3.5,"Below 3.5",IF(H569&lt;4,"3.5-3.9",IF(H569&lt;4.5,"4.0-4.4","4.5+"))))</f>
        <v>4.0-4.4</v>
      </c>
    </row>
    <row r="570" customFormat="false" ht="15" hidden="false" customHeight="false" outlineLevel="0" collapsed="false">
      <c r="A570" s="10" t="s">
        <v>1152</v>
      </c>
      <c r="B570" s="10" t="s">
        <v>1153</v>
      </c>
      <c r="C570" s="10" t="s">
        <v>48</v>
      </c>
      <c r="D570" s="10" t="s">
        <v>722</v>
      </c>
      <c r="E570" s="11" t="n">
        <v>999</v>
      </c>
      <c r="F570" s="11" t="n">
        <v>499</v>
      </c>
      <c r="G570" s="12" t="n">
        <v>0.5</v>
      </c>
      <c r="H570" s="13" t="n">
        <v>3.9</v>
      </c>
      <c r="I570" s="11" t="n">
        <v>92995</v>
      </c>
      <c r="J570" s="11" t="n">
        <f aca="false">E570-F570</f>
        <v>500</v>
      </c>
      <c r="K570" s="10" t="str">
        <f aca="false">IF(G570&lt;0.2,"0-19%",IF(G570&lt;0.4,"20-39%",IF(G570&lt;0.6,"40-59%",IF(G570&lt;0.8,"60-79%","80%+"))))</f>
        <v>40-59%</v>
      </c>
      <c r="L570" s="10" t="str">
        <f aca="false">IF(H570="","No rating",IF(H570&lt;3.5,"Below 3.5",IF(H570&lt;4,"3.5-3.9",IF(H570&lt;4.5,"4.0-4.4","4.5+"))))</f>
        <v>3.5-3.9</v>
      </c>
    </row>
    <row r="571" customFormat="false" ht="15" hidden="false" customHeight="false" outlineLevel="0" collapsed="false">
      <c r="A571" s="10" t="s">
        <v>1154</v>
      </c>
      <c r="B571" s="10" t="s">
        <v>1155</v>
      </c>
      <c r="C571" s="10" t="s">
        <v>21</v>
      </c>
      <c r="D571" s="10" t="s">
        <v>22</v>
      </c>
      <c r="E571" s="11" t="n">
        <v>999</v>
      </c>
      <c r="F571" s="11" t="n">
        <v>99</v>
      </c>
      <c r="G571" s="12" t="n">
        <v>0.9</v>
      </c>
      <c r="H571" s="13" t="n">
        <v>4.1</v>
      </c>
      <c r="I571" s="11" t="n">
        <v>8751</v>
      </c>
      <c r="J571" s="11" t="n">
        <f aca="false">E571-F571</f>
        <v>900</v>
      </c>
      <c r="K571" s="10" t="str">
        <f aca="false">IF(G571&lt;0.2,"0-19%",IF(G571&lt;0.4,"20-39%",IF(G571&lt;0.6,"40-59%",IF(G571&lt;0.8,"60-79%","80%+"))))</f>
        <v>80%+</v>
      </c>
      <c r="L571" s="10" t="str">
        <f aca="false">IF(H571="","No rating",IF(H571&lt;3.5,"Below 3.5",IF(H571&lt;4,"3.5-3.9",IF(H571&lt;4.5,"4.0-4.4","4.5+"))))</f>
        <v>4.0-4.4</v>
      </c>
    </row>
    <row r="572" customFormat="false" ht="15" hidden="false" customHeight="false" outlineLevel="0" collapsed="false">
      <c r="A572" s="10" t="s">
        <v>1156</v>
      </c>
      <c r="B572" s="10" t="s">
        <v>1157</v>
      </c>
      <c r="C572" s="10" t="s">
        <v>21</v>
      </c>
      <c r="D572" s="10" t="s">
        <v>1135</v>
      </c>
      <c r="E572" s="11" t="n">
        <v>1500</v>
      </c>
      <c r="F572" s="11" t="n">
        <v>475</v>
      </c>
      <c r="G572" s="12" t="n">
        <v>0.68</v>
      </c>
      <c r="H572" s="13" t="n">
        <v>4.2</v>
      </c>
      <c r="I572" s="11" t="n">
        <v>64273</v>
      </c>
      <c r="J572" s="11" t="n">
        <f aca="false">E572-F572</f>
        <v>1025</v>
      </c>
      <c r="K572" s="10" t="str">
        <f aca="false">IF(G572&lt;0.2,"0-19%",IF(G572&lt;0.4,"20-39%",IF(G572&lt;0.6,"40-59%",IF(G572&lt;0.8,"60-79%","80%+"))))</f>
        <v>60-79%</v>
      </c>
      <c r="L572" s="10" t="str">
        <f aca="false">IF(H572="","No rating",IF(H572&lt;3.5,"Below 3.5",IF(H572&lt;4,"3.5-3.9",IF(H572&lt;4.5,"4.0-4.4","4.5+"))))</f>
        <v>4.0-4.4</v>
      </c>
    </row>
    <row r="573" customFormat="false" ht="15" hidden="false" customHeight="false" outlineLevel="0" collapsed="false">
      <c r="A573" s="10" t="s">
        <v>1158</v>
      </c>
      <c r="B573" s="10" t="s">
        <v>1159</v>
      </c>
      <c r="C573" s="10" t="s">
        <v>21</v>
      </c>
      <c r="D573" s="10" t="s">
        <v>22</v>
      </c>
      <c r="E573" s="11" t="n">
        <v>649</v>
      </c>
      <c r="F573" s="11" t="n">
        <v>269</v>
      </c>
      <c r="G573" s="12" t="n">
        <v>0.59</v>
      </c>
      <c r="H573" s="13" t="n">
        <v>4.3</v>
      </c>
      <c r="I573" s="11" t="n">
        <v>54315</v>
      </c>
      <c r="J573" s="11" t="n">
        <f aca="false">E573-F573</f>
        <v>380</v>
      </c>
      <c r="K573" s="10" t="str">
        <f aca="false">IF(G573&lt;0.2,"0-19%",IF(G573&lt;0.4,"20-39%",IF(G573&lt;0.6,"40-59%",IF(G573&lt;0.8,"60-79%","80%+"))))</f>
        <v>40-59%</v>
      </c>
      <c r="L573" s="10" t="str">
        <f aca="false">IF(H573="","No rating",IF(H573&lt;3.5,"Below 3.5",IF(H573&lt;4,"3.5-3.9",IF(H573&lt;4.5,"4.0-4.4","4.5+"))))</f>
        <v>4.0-4.4</v>
      </c>
    </row>
    <row r="574" customFormat="false" ht="15" hidden="false" customHeight="false" outlineLevel="0" collapsed="false">
      <c r="A574" s="10" t="s">
        <v>1160</v>
      </c>
      <c r="B574" s="10" t="s">
        <v>1161</v>
      </c>
      <c r="C574" s="10" t="s">
        <v>21</v>
      </c>
      <c r="D574" s="10" t="s">
        <v>22</v>
      </c>
      <c r="E574" s="11" t="n">
        <v>599</v>
      </c>
      <c r="F574" s="11" t="n">
        <v>299</v>
      </c>
      <c r="G574" s="12" t="n">
        <v>0.5</v>
      </c>
      <c r="H574" s="13" t="n">
        <v>4.1</v>
      </c>
      <c r="I574" s="11" t="n">
        <v>1597</v>
      </c>
      <c r="J574" s="11" t="n">
        <f aca="false">E574-F574</f>
        <v>300</v>
      </c>
      <c r="K574" s="10" t="str">
        <f aca="false">IF(G574&lt;0.2,"0-19%",IF(G574&lt;0.4,"20-39%",IF(G574&lt;0.6,"40-59%",IF(G574&lt;0.8,"60-79%","80%+"))))</f>
        <v>40-59%</v>
      </c>
      <c r="L574" s="10" t="str">
        <f aca="false">IF(H574="","No rating",IF(H574&lt;3.5,"Below 3.5",IF(H574&lt;4,"3.5-3.9",IF(H574&lt;4.5,"4.0-4.4","4.5+"))))</f>
        <v>4.0-4.4</v>
      </c>
    </row>
    <row r="575" customFormat="false" ht="15" hidden="false" customHeight="false" outlineLevel="0" collapsed="false">
      <c r="A575" s="10" t="s">
        <v>1162</v>
      </c>
      <c r="B575" s="10" t="s">
        <v>1163</v>
      </c>
      <c r="C575" s="10" t="s">
        <v>48</v>
      </c>
      <c r="D575" s="10" t="s">
        <v>722</v>
      </c>
      <c r="E575" s="11" t="n">
        <v>999</v>
      </c>
      <c r="F575" s="11" t="n">
        <v>329</v>
      </c>
      <c r="G575" s="12" t="n">
        <v>0.67</v>
      </c>
      <c r="H575" s="13" t="n">
        <v>3.9</v>
      </c>
      <c r="I575" s="11" t="n">
        <v>77027</v>
      </c>
      <c r="J575" s="11" t="n">
        <f aca="false">E575-F575</f>
        <v>670</v>
      </c>
      <c r="K575" s="10" t="str">
        <f aca="false">IF(G575&lt;0.2,"0-19%",IF(G575&lt;0.4,"20-39%",IF(G575&lt;0.6,"40-59%",IF(G575&lt;0.8,"60-79%","80%+"))))</f>
        <v>60-79%</v>
      </c>
      <c r="L575" s="10" t="str">
        <f aca="false">IF(H575="","No rating",IF(H575&lt;3.5,"Below 3.5",IF(H575&lt;4,"3.5-3.9",IF(H575&lt;4.5,"4.0-4.4","4.5+"))))</f>
        <v>3.5-3.9</v>
      </c>
    </row>
    <row r="576" customFormat="false" ht="15" hidden="false" customHeight="false" outlineLevel="0" collapsed="false">
      <c r="A576" s="10" t="s">
        <v>1164</v>
      </c>
      <c r="B576" s="10" t="s">
        <v>1165</v>
      </c>
      <c r="C576" s="10" t="s">
        <v>21</v>
      </c>
      <c r="D576" s="10" t="s">
        <v>22</v>
      </c>
      <c r="E576" s="11" t="n">
        <v>1799</v>
      </c>
      <c r="F576" s="11" t="n">
        <v>549</v>
      </c>
      <c r="G576" s="12" t="n">
        <v>0.69</v>
      </c>
      <c r="H576" s="13" t="n">
        <v>4.3</v>
      </c>
      <c r="I576" s="11" t="n">
        <v>28829</v>
      </c>
      <c r="J576" s="11" t="n">
        <f aca="false">E576-F576</f>
        <v>1250</v>
      </c>
      <c r="K576" s="10" t="str">
        <f aca="false">IF(G576&lt;0.2,"0-19%",IF(G576&lt;0.4,"20-39%",IF(G576&lt;0.6,"40-59%",IF(G576&lt;0.8,"60-79%","80%+"))))</f>
        <v>60-79%</v>
      </c>
      <c r="L576" s="10" t="str">
        <f aca="false">IF(H576="","No rating",IF(H576&lt;3.5,"Below 3.5",IF(H576&lt;4,"3.5-3.9",IF(H576&lt;4.5,"4.0-4.4","4.5+"))))</f>
        <v>4.0-4.4</v>
      </c>
    </row>
    <row r="577" customFormat="false" ht="15" hidden="false" customHeight="false" outlineLevel="0" collapsed="false">
      <c r="A577" s="10" t="s">
        <v>1166</v>
      </c>
      <c r="B577" s="10" t="s">
        <v>1167</v>
      </c>
      <c r="C577" s="10" t="s">
        <v>21</v>
      </c>
      <c r="D577" s="10" t="s">
        <v>22</v>
      </c>
      <c r="E577" s="11" t="n">
        <v>650</v>
      </c>
      <c r="F577" s="11" t="n">
        <v>299</v>
      </c>
      <c r="G577" s="12" t="n">
        <v>0.54</v>
      </c>
      <c r="H577" s="13" t="n">
        <v>4.5</v>
      </c>
      <c r="I577" s="11" t="n">
        <v>33176</v>
      </c>
      <c r="J577" s="11" t="n">
        <f aca="false">E577-F577</f>
        <v>351</v>
      </c>
      <c r="K577" s="10" t="str">
        <f aca="false">IF(G577&lt;0.2,"0-19%",IF(G577&lt;0.4,"20-39%",IF(G577&lt;0.6,"40-59%",IF(G577&lt;0.8,"60-79%","80%+"))))</f>
        <v>40-59%</v>
      </c>
      <c r="L577" s="10" t="str">
        <f aca="false">IF(H577="","No rating",IF(H577&lt;3.5,"Below 3.5",IF(H577&lt;4,"3.5-3.9",IF(H577&lt;4.5,"4.0-4.4","4.5+"))))</f>
        <v>4.5+</v>
      </c>
    </row>
    <row r="578" customFormat="false" ht="15" hidden="false" customHeight="false" outlineLevel="0" collapsed="false">
      <c r="A578" s="10" t="s">
        <v>1168</v>
      </c>
      <c r="B578" s="10" t="s">
        <v>1169</v>
      </c>
      <c r="C578" s="10" t="s">
        <v>1170</v>
      </c>
      <c r="D578" s="10" t="s">
        <v>1171</v>
      </c>
      <c r="E578" s="11" t="n">
        <v>1995</v>
      </c>
      <c r="F578" s="11" t="n">
        <v>798</v>
      </c>
      <c r="G578" s="12" t="n">
        <v>0.6</v>
      </c>
      <c r="H578" s="13" t="n">
        <v>4</v>
      </c>
      <c r="I578" s="11" t="n">
        <v>68664</v>
      </c>
      <c r="J578" s="11" t="n">
        <f aca="false">E578-F578</f>
        <v>1197</v>
      </c>
      <c r="K578" s="10" t="str">
        <f aca="false">IF(G578&lt;0.2,"0-19%",IF(G578&lt;0.4,"20-39%",IF(G578&lt;0.6,"40-59%",IF(G578&lt;0.8,"60-79%","80%+"))))</f>
        <v>60-79%</v>
      </c>
      <c r="L578" s="10" t="str">
        <f aca="false">IF(H578="","No rating",IF(H578&lt;3.5,"Below 3.5",IF(H578&lt;4,"3.5-3.9",IF(H578&lt;4.5,"4.0-4.4","4.5+"))))</f>
        <v>4.0-4.4</v>
      </c>
    </row>
    <row r="579" customFormat="false" ht="15" hidden="false" customHeight="false" outlineLevel="0" collapsed="false">
      <c r="A579" s="10" t="s">
        <v>1172</v>
      </c>
      <c r="B579" s="10" t="s">
        <v>1173</v>
      </c>
      <c r="C579" s="10" t="s">
        <v>48</v>
      </c>
      <c r="D579" s="10" t="s">
        <v>1174</v>
      </c>
      <c r="E579" s="11" t="n">
        <v>315</v>
      </c>
      <c r="F579" s="11" t="n">
        <v>266</v>
      </c>
      <c r="G579" s="12" t="n">
        <v>0.16</v>
      </c>
      <c r="H579" s="13" t="n">
        <v>4.5</v>
      </c>
      <c r="I579" s="11" t="n">
        <v>28030</v>
      </c>
      <c r="J579" s="11" t="n">
        <f aca="false">E579-F579</f>
        <v>49</v>
      </c>
      <c r="K579" s="10" t="str">
        <f aca="false">IF(G579&lt;0.2,"0-19%",IF(G579&lt;0.4,"20-39%",IF(G579&lt;0.6,"40-59%",IF(G579&lt;0.8,"60-79%","80%+"))))</f>
        <v>0-19%</v>
      </c>
      <c r="L579" s="10" t="str">
        <f aca="false">IF(H579="","No rating",IF(H579&lt;3.5,"Below 3.5",IF(H579&lt;4,"3.5-3.9",IF(H579&lt;4.5,"4.0-4.4","4.5+"))))</f>
        <v>4.5+</v>
      </c>
    </row>
    <row r="580" customFormat="false" ht="15" hidden="false" customHeight="false" outlineLevel="0" collapsed="false">
      <c r="A580" s="10" t="s">
        <v>1175</v>
      </c>
      <c r="B580" s="10" t="s">
        <v>1176</v>
      </c>
      <c r="C580" s="10" t="s">
        <v>1177</v>
      </c>
      <c r="D580" s="10" t="s">
        <v>1178</v>
      </c>
      <c r="E580" s="11" t="n">
        <v>50</v>
      </c>
      <c r="F580" s="11" t="n">
        <v>50</v>
      </c>
      <c r="G580" s="12" t="n">
        <v>0</v>
      </c>
      <c r="H580" s="13" t="n">
        <v>4.3</v>
      </c>
      <c r="I580" s="11" t="n">
        <v>5792</v>
      </c>
      <c r="J580" s="11" t="n">
        <f aca="false">E580-F580</f>
        <v>0</v>
      </c>
      <c r="K580" s="10" t="str">
        <f aca="false">IF(G580&lt;0.2,"0-19%",IF(G580&lt;0.4,"20-39%",IF(G580&lt;0.6,"40-59%",IF(G580&lt;0.8,"60-79%","80%+"))))</f>
        <v>0-19%</v>
      </c>
      <c r="L580" s="10" t="str">
        <f aca="false">IF(H580="","No rating",IF(H580&lt;3.5,"Below 3.5",IF(H580&lt;4,"3.5-3.9",IF(H580&lt;4.5,"4.0-4.4","4.5+"))))</f>
        <v>4.0-4.4</v>
      </c>
    </row>
    <row r="581" customFormat="false" ht="15" hidden="false" customHeight="false" outlineLevel="0" collapsed="false">
      <c r="A581" s="10" t="s">
        <v>1179</v>
      </c>
      <c r="B581" s="10" t="s">
        <v>1180</v>
      </c>
      <c r="C581" s="10" t="s">
        <v>1181</v>
      </c>
      <c r="D581" s="10" t="s">
        <v>1182</v>
      </c>
      <c r="E581" s="11" t="n">
        <v>165</v>
      </c>
      <c r="F581" s="11" t="n">
        <v>130</v>
      </c>
      <c r="G581" s="12" t="n">
        <v>0.21</v>
      </c>
      <c r="H581" s="13" t="n">
        <v>3.9</v>
      </c>
      <c r="I581" s="11" t="n">
        <v>14778</v>
      </c>
      <c r="J581" s="11" t="n">
        <f aca="false">E581-F581</f>
        <v>35</v>
      </c>
      <c r="K581" s="10" t="str">
        <f aca="false">IF(G581&lt;0.2,"0-19%",IF(G581&lt;0.4,"20-39%",IF(G581&lt;0.6,"40-59%",IF(G581&lt;0.8,"60-79%","80%+"))))</f>
        <v>20-39%</v>
      </c>
      <c r="L581" s="10" t="str">
        <f aca="false">IF(H581="","No rating",IF(H581&lt;3.5,"Below 3.5",IF(H581&lt;4,"3.5-3.9",IF(H581&lt;4.5,"4.0-4.4","4.5+"))))</f>
        <v>3.5-3.9</v>
      </c>
    </row>
    <row r="582" customFormat="false" ht="15" hidden="false" customHeight="false" outlineLevel="0" collapsed="false">
      <c r="A582" s="10" t="s">
        <v>1183</v>
      </c>
      <c r="B582" s="10" t="s">
        <v>1184</v>
      </c>
      <c r="C582" s="10" t="s">
        <v>48</v>
      </c>
      <c r="D582" s="10" t="s">
        <v>722</v>
      </c>
      <c r="E582" s="11" t="n">
        <v>1290</v>
      </c>
      <c r="F582" s="11" t="n">
        <v>449</v>
      </c>
      <c r="G582" s="12" t="n">
        <v>0.65</v>
      </c>
      <c r="H582" s="13" t="n">
        <v>4.1</v>
      </c>
      <c r="I582" s="11" t="n">
        <v>91770</v>
      </c>
      <c r="J582" s="11" t="n">
        <f aca="false">E582-F582</f>
        <v>841</v>
      </c>
      <c r="K582" s="10" t="str">
        <f aca="false">IF(G582&lt;0.2,"0-19%",IF(G582&lt;0.4,"20-39%",IF(G582&lt;0.6,"40-59%",IF(G582&lt;0.8,"60-79%","80%+"))))</f>
        <v>60-79%</v>
      </c>
      <c r="L582" s="10" t="str">
        <f aca="false">IF(H582="","No rating",IF(H582&lt;3.5,"Below 3.5",IF(H582&lt;4,"3.5-3.9",IF(H582&lt;4.5,"4.0-4.4","4.5+"))))</f>
        <v>4.0-4.4</v>
      </c>
    </row>
    <row r="583" customFormat="false" ht="15" hidden="false" customHeight="false" outlineLevel="0" collapsed="false">
      <c r="A583" s="10" t="s">
        <v>1185</v>
      </c>
      <c r="B583" s="10" t="s">
        <v>1186</v>
      </c>
      <c r="C583" s="10" t="s">
        <v>48</v>
      </c>
      <c r="D583" s="10" t="s">
        <v>722</v>
      </c>
      <c r="E583" s="11" t="n">
        <v>1290</v>
      </c>
      <c r="F583" s="11" t="n">
        <v>399</v>
      </c>
      <c r="G583" s="12" t="n">
        <v>0.69</v>
      </c>
      <c r="H583" s="13" t="n">
        <v>4.2</v>
      </c>
      <c r="I583" s="11" t="n">
        <v>206</v>
      </c>
      <c r="J583" s="11" t="n">
        <f aca="false">E583-F583</f>
        <v>891</v>
      </c>
      <c r="K583" s="10" t="str">
        <f aca="false">IF(G583&lt;0.2,"0-19%",IF(G583&lt;0.4,"20-39%",IF(G583&lt;0.6,"40-59%",IF(G583&lt;0.8,"60-79%","80%+"))))</f>
        <v>60-79%</v>
      </c>
      <c r="L583" s="10" t="str">
        <f aca="false">IF(H583="","No rating",IF(H583&lt;3.5,"Below 3.5",IF(H583&lt;4,"3.5-3.9",IF(H583&lt;4.5,"4.0-4.4","4.5+"))))</f>
        <v>4.0-4.4</v>
      </c>
    </row>
    <row r="584" customFormat="false" ht="15" hidden="false" customHeight="false" outlineLevel="0" collapsed="false">
      <c r="A584" s="10" t="s">
        <v>1187</v>
      </c>
      <c r="B584" s="10" t="s">
        <v>1188</v>
      </c>
      <c r="C584" s="10" t="s">
        <v>21</v>
      </c>
      <c r="D584" s="10" t="s">
        <v>22</v>
      </c>
      <c r="E584" s="11" t="n">
        <v>2498</v>
      </c>
      <c r="F584" s="11" t="n">
        <v>1399</v>
      </c>
      <c r="G584" s="12" t="n">
        <v>0.44</v>
      </c>
      <c r="H584" s="13" t="n">
        <v>4.2</v>
      </c>
      <c r="I584" s="11" t="n">
        <v>33717</v>
      </c>
      <c r="J584" s="11" t="n">
        <f aca="false">E584-F584</f>
        <v>1099</v>
      </c>
      <c r="K584" s="10" t="str">
        <f aca="false">IF(G584&lt;0.2,"0-19%",IF(G584&lt;0.4,"20-39%",IF(G584&lt;0.6,"40-59%",IF(G584&lt;0.8,"60-79%","80%+"))))</f>
        <v>40-59%</v>
      </c>
      <c r="L584" s="10" t="str">
        <f aca="false">IF(H584="","No rating",IF(H584&lt;3.5,"Below 3.5",IF(H584&lt;4,"3.5-3.9",IF(H584&lt;4.5,"4.0-4.4","4.5+"))))</f>
        <v>4.0-4.4</v>
      </c>
    </row>
    <row r="585" customFormat="false" ht="15" hidden="false" customHeight="false" outlineLevel="0" collapsed="false">
      <c r="A585" s="10" t="s">
        <v>1189</v>
      </c>
      <c r="B585" s="10" t="s">
        <v>1190</v>
      </c>
      <c r="C585" s="10" t="s">
        <v>21</v>
      </c>
      <c r="D585" s="10" t="s">
        <v>1135</v>
      </c>
      <c r="E585" s="11" t="n">
        <v>4999</v>
      </c>
      <c r="F585" s="11" t="n">
        <v>4098</v>
      </c>
      <c r="G585" s="12" t="n">
        <v>0.18</v>
      </c>
      <c r="H585" s="13" t="n">
        <v>4.5</v>
      </c>
      <c r="I585" s="11" t="n">
        <v>50810</v>
      </c>
      <c r="J585" s="11" t="n">
        <f aca="false">E585-F585</f>
        <v>901</v>
      </c>
      <c r="K585" s="10" t="str">
        <f aca="false">IF(G585&lt;0.2,"0-19%",IF(G585&lt;0.4,"20-39%",IF(G585&lt;0.6,"40-59%",IF(G585&lt;0.8,"60-79%","80%+"))))</f>
        <v>0-19%</v>
      </c>
      <c r="L585" s="10" t="str">
        <f aca="false">IF(H585="","No rating",IF(H585&lt;3.5,"Below 3.5",IF(H585&lt;4,"3.5-3.9",IF(H585&lt;4.5,"4.0-4.4","4.5+"))))</f>
        <v>4.5+</v>
      </c>
    </row>
    <row r="586" customFormat="false" ht="15" hidden="false" customHeight="false" outlineLevel="0" collapsed="false">
      <c r="A586" s="10" t="s">
        <v>1191</v>
      </c>
      <c r="B586" s="10" t="s">
        <v>1192</v>
      </c>
      <c r="C586" s="10" t="s">
        <v>48</v>
      </c>
      <c r="D586" s="10" t="s">
        <v>1193</v>
      </c>
      <c r="E586" s="11" t="n">
        <v>1999</v>
      </c>
      <c r="F586" s="11" t="n">
        <v>499</v>
      </c>
      <c r="G586" s="12" t="n">
        <v>0.75</v>
      </c>
      <c r="H586" s="13" t="n">
        <v>3.7</v>
      </c>
      <c r="I586" s="11" t="n">
        <v>3369</v>
      </c>
      <c r="J586" s="11" t="n">
        <f aca="false">E586-F586</f>
        <v>1500</v>
      </c>
      <c r="K586" s="10" t="str">
        <f aca="false">IF(G586&lt;0.2,"0-19%",IF(G586&lt;0.4,"20-39%",IF(G586&lt;0.6,"40-59%",IF(G586&lt;0.8,"60-79%","80%+"))))</f>
        <v>60-79%</v>
      </c>
      <c r="L586" s="10" t="str">
        <f aca="false">IF(H586="","No rating",IF(H586&lt;3.5,"Below 3.5",IF(H586&lt;4,"3.5-3.9",IF(H586&lt;4.5,"4.0-4.4","4.5+"))))</f>
        <v>3.5-3.9</v>
      </c>
    </row>
    <row r="587" customFormat="false" ht="15" hidden="false" customHeight="false" outlineLevel="0" collapsed="false">
      <c r="A587" s="10" t="s">
        <v>1194</v>
      </c>
      <c r="B587" s="10" t="s">
        <v>1195</v>
      </c>
      <c r="C587" s="10" t="s">
        <v>21</v>
      </c>
      <c r="D587" s="10" t="s">
        <v>22</v>
      </c>
      <c r="E587" s="11" t="n">
        <v>449</v>
      </c>
      <c r="F587" s="11" t="n">
        <v>299</v>
      </c>
      <c r="G587" s="12" t="n">
        <v>0.33</v>
      </c>
      <c r="H587" s="13" t="n">
        <v>3.5</v>
      </c>
      <c r="I587" s="11" t="n">
        <v>11827</v>
      </c>
      <c r="J587" s="11" t="n">
        <f aca="false">E587-F587</f>
        <v>150</v>
      </c>
      <c r="K587" s="10" t="str">
        <f aca="false">IF(G587&lt;0.2,"0-19%",IF(G587&lt;0.4,"20-39%",IF(G587&lt;0.6,"40-59%",IF(G587&lt;0.8,"60-79%","80%+"))))</f>
        <v>20-39%</v>
      </c>
      <c r="L587" s="10" t="str">
        <f aca="false">IF(H587="","No rating",IF(H587&lt;3.5,"Below 3.5",IF(H587&lt;4,"3.5-3.9",IF(H587&lt;4.5,"4.0-4.4","4.5+"))))</f>
        <v>3.5-3.9</v>
      </c>
    </row>
    <row r="588" customFormat="false" ht="15" hidden="false" customHeight="false" outlineLevel="0" collapsed="false">
      <c r="A588" s="10" t="s">
        <v>1196</v>
      </c>
      <c r="B588" s="10" t="s">
        <v>1197</v>
      </c>
      <c r="C588" s="10" t="s">
        <v>21</v>
      </c>
      <c r="D588" s="10" t="s">
        <v>22</v>
      </c>
      <c r="E588" s="11" t="n">
        <v>999</v>
      </c>
      <c r="F588" s="11" t="n">
        <v>699</v>
      </c>
      <c r="G588" s="12" t="n">
        <v>0.3</v>
      </c>
      <c r="H588" s="13" t="n">
        <v>3.5</v>
      </c>
      <c r="I588" s="11" t="n">
        <v>15295</v>
      </c>
      <c r="J588" s="11" t="n">
        <f aca="false">E588-F588</f>
        <v>300</v>
      </c>
      <c r="K588" s="10" t="str">
        <f aca="false">IF(G588&lt;0.2,"0-19%",IF(G588&lt;0.4,"20-39%",IF(G588&lt;0.6,"40-59%",IF(G588&lt;0.8,"60-79%","80%+"))))</f>
        <v>20-39%</v>
      </c>
      <c r="L588" s="10" t="str">
        <f aca="false">IF(H588="","No rating",IF(H588&lt;3.5,"Below 3.5",IF(H588&lt;4,"3.5-3.9",IF(H588&lt;4.5,"4.0-4.4","4.5+"))))</f>
        <v>3.5-3.9</v>
      </c>
    </row>
    <row r="589" customFormat="false" ht="15" hidden="false" customHeight="false" outlineLevel="0" collapsed="false">
      <c r="A589" s="10" t="s">
        <v>1198</v>
      </c>
      <c r="B589" s="10" t="s">
        <v>1199</v>
      </c>
      <c r="C589" s="10" t="s">
        <v>48</v>
      </c>
      <c r="D589" s="10" t="s">
        <v>1193</v>
      </c>
      <c r="E589" s="11" t="n">
        <v>3990</v>
      </c>
      <c r="F589" s="11" t="n">
        <v>799</v>
      </c>
      <c r="G589" s="12" t="n">
        <v>0.8</v>
      </c>
      <c r="H589" s="13" t="n">
        <v>4.3</v>
      </c>
      <c r="I589" s="11" t="n">
        <v>27139</v>
      </c>
      <c r="J589" s="11" t="n">
        <f aca="false">E589-F589</f>
        <v>3191</v>
      </c>
      <c r="K589" s="10" t="str">
        <f aca="false">IF(G589&lt;0.2,"0-19%",IF(G589&lt;0.4,"20-39%",IF(G589&lt;0.6,"40-59%",IF(G589&lt;0.8,"60-79%","80%+"))))</f>
        <v>80%+</v>
      </c>
      <c r="L589" s="10" t="str">
        <f aca="false">IF(H589="","No rating",IF(H589&lt;3.5,"Below 3.5",IF(H589&lt;4,"3.5-3.9",IF(H589&lt;4.5,"4.0-4.4","4.5+"))))</f>
        <v>4.0-4.4</v>
      </c>
    </row>
    <row r="590" customFormat="false" ht="15" hidden="false" customHeight="false" outlineLevel="0" collapsed="false">
      <c r="A590" s="10" t="s">
        <v>1200</v>
      </c>
      <c r="B590" s="10" t="s">
        <v>1201</v>
      </c>
      <c r="C590" s="10" t="s">
        <v>48</v>
      </c>
      <c r="D590" s="10" t="s">
        <v>722</v>
      </c>
      <c r="E590" s="11" t="n">
        <v>5499</v>
      </c>
      <c r="F590" s="11" t="n">
        <v>1399</v>
      </c>
      <c r="G590" s="12" t="n">
        <v>0.75</v>
      </c>
      <c r="H590" s="13" t="n">
        <v>3.9</v>
      </c>
      <c r="I590" s="11" t="n">
        <v>9504</v>
      </c>
      <c r="J590" s="11" t="n">
        <f aca="false">E590-F590</f>
        <v>4100</v>
      </c>
      <c r="K590" s="10" t="str">
        <f aca="false">IF(G590&lt;0.2,"0-19%",IF(G590&lt;0.4,"20-39%",IF(G590&lt;0.6,"40-59%",IF(G590&lt;0.8,"60-79%","80%+"))))</f>
        <v>60-79%</v>
      </c>
      <c r="L590" s="10" t="str">
        <f aca="false">IF(H590="","No rating",IF(H590&lt;3.5,"Below 3.5",IF(H590&lt;4,"3.5-3.9",IF(H590&lt;4.5,"4.0-4.4","4.5+"))))</f>
        <v>3.5-3.9</v>
      </c>
    </row>
    <row r="591" customFormat="false" ht="15" hidden="false" customHeight="false" outlineLevel="0" collapsed="false">
      <c r="A591" s="10" t="s">
        <v>1202</v>
      </c>
      <c r="B591" s="10" t="s">
        <v>1203</v>
      </c>
      <c r="C591" s="10" t="s">
        <v>21</v>
      </c>
      <c r="D591" s="10" t="s">
        <v>1135</v>
      </c>
      <c r="E591" s="11" t="n">
        <v>1350</v>
      </c>
      <c r="F591" s="11" t="n">
        <v>519</v>
      </c>
      <c r="G591" s="12" t="n">
        <v>0.62</v>
      </c>
      <c r="H591" s="13" t="n">
        <v>4.3</v>
      </c>
      <c r="I591" s="11" t="n">
        <v>30058</v>
      </c>
      <c r="J591" s="11" t="n">
        <f aca="false">E591-F591</f>
        <v>831</v>
      </c>
      <c r="K591" s="10" t="str">
        <f aca="false">IF(G591&lt;0.2,"0-19%",IF(G591&lt;0.4,"20-39%",IF(G591&lt;0.6,"40-59%",IF(G591&lt;0.8,"60-79%","80%+"))))</f>
        <v>60-79%</v>
      </c>
      <c r="L591" s="10" t="str">
        <f aca="false">IF(H591="","No rating",IF(H591&lt;3.5,"Below 3.5",IF(H591&lt;4,"3.5-3.9",IF(H591&lt;4.5,"4.0-4.4","4.5+"))))</f>
        <v>4.0-4.4</v>
      </c>
    </row>
    <row r="592" customFormat="false" ht="15" hidden="false" customHeight="false" outlineLevel="0" collapsed="false">
      <c r="A592" s="10" t="s">
        <v>1204</v>
      </c>
      <c r="B592" s="10" t="s">
        <v>1205</v>
      </c>
      <c r="C592" s="10" t="s">
        <v>48</v>
      </c>
      <c r="D592" s="10" t="s">
        <v>722</v>
      </c>
      <c r="E592" s="11" t="n">
        <v>3990</v>
      </c>
      <c r="F592" s="11" t="n">
        <v>1499</v>
      </c>
      <c r="G592" s="12" t="n">
        <v>0.62</v>
      </c>
      <c r="H592" s="13" t="n">
        <v>4.1</v>
      </c>
      <c r="I592" s="11" t="n">
        <v>109864</v>
      </c>
      <c r="J592" s="11" t="n">
        <f aca="false">E592-F592</f>
        <v>2491</v>
      </c>
      <c r="K592" s="10" t="str">
        <f aca="false">IF(G592&lt;0.2,"0-19%",IF(G592&lt;0.4,"20-39%",IF(G592&lt;0.6,"40-59%",IF(G592&lt;0.8,"60-79%","80%+"))))</f>
        <v>60-79%</v>
      </c>
      <c r="L592" s="10" t="str">
        <f aca="false">IF(H592="","No rating",IF(H592&lt;3.5,"Below 3.5",IF(H592&lt;4,"3.5-3.9",IF(H592&lt;4.5,"4.0-4.4","4.5+"))))</f>
        <v>4.0-4.4</v>
      </c>
    </row>
    <row r="593" customFormat="false" ht="15" hidden="false" customHeight="false" outlineLevel="0" collapsed="false">
      <c r="A593" s="10" t="s">
        <v>1206</v>
      </c>
      <c r="B593" s="10" t="s">
        <v>1207</v>
      </c>
      <c r="C593" s="10" t="s">
        <v>1177</v>
      </c>
      <c r="D593" s="10" t="s">
        <v>1208</v>
      </c>
      <c r="E593" s="11" t="n">
        <v>1295</v>
      </c>
      <c r="F593" s="11" t="n">
        <v>1295</v>
      </c>
      <c r="G593" s="12" t="n">
        <v>0</v>
      </c>
      <c r="H593" s="13" t="n">
        <v>4.5</v>
      </c>
      <c r="I593" s="11" t="n">
        <v>5760</v>
      </c>
      <c r="J593" s="11" t="n">
        <f aca="false">E593-F593</f>
        <v>0</v>
      </c>
      <c r="K593" s="10" t="str">
        <f aca="false">IF(G593&lt;0.2,"0-19%",IF(G593&lt;0.4,"20-39%",IF(G593&lt;0.6,"40-59%",IF(G593&lt;0.8,"60-79%","80%+"))))</f>
        <v>0-19%</v>
      </c>
      <c r="L593" s="10" t="str">
        <f aca="false">IF(H593="","No rating",IF(H593&lt;3.5,"Below 3.5",IF(H593&lt;4,"3.5-3.9",IF(H593&lt;4.5,"4.0-4.4","4.5+"))))</f>
        <v>4.5+</v>
      </c>
    </row>
    <row r="594" customFormat="false" ht="15" hidden="false" customHeight="false" outlineLevel="0" collapsed="false">
      <c r="A594" s="10" t="s">
        <v>1209</v>
      </c>
      <c r="B594" s="10" t="s">
        <v>1210</v>
      </c>
      <c r="C594" s="10" t="s">
        <v>21</v>
      </c>
      <c r="D594" s="10" t="s">
        <v>39</v>
      </c>
      <c r="E594" s="11" t="n">
        <v>5499</v>
      </c>
      <c r="F594" s="11" t="n">
        <v>1889</v>
      </c>
      <c r="G594" s="12" t="n">
        <v>0.66</v>
      </c>
      <c r="H594" s="13" t="n">
        <v>4.2</v>
      </c>
      <c r="I594" s="11" t="n">
        <v>49551</v>
      </c>
      <c r="J594" s="11" t="n">
        <f aca="false">E594-F594</f>
        <v>3610</v>
      </c>
      <c r="K594" s="10" t="str">
        <f aca="false">IF(G594&lt;0.2,"0-19%",IF(G594&lt;0.4,"20-39%",IF(G594&lt;0.6,"40-59%",IF(G594&lt;0.8,"60-79%","80%+"))))</f>
        <v>60-79%</v>
      </c>
      <c r="L594" s="10" t="str">
        <f aca="false">IF(H594="","No rating",IF(H594&lt;3.5,"Below 3.5",IF(H594&lt;4,"3.5-3.9",IF(H594&lt;4.5,"4.0-4.4","4.5+"))))</f>
        <v>4.0-4.4</v>
      </c>
    </row>
    <row r="595" customFormat="false" ht="15" hidden="false" customHeight="false" outlineLevel="0" collapsed="false">
      <c r="A595" s="10" t="s">
        <v>1211</v>
      </c>
      <c r="B595" s="10" t="s">
        <v>1212</v>
      </c>
      <c r="C595" s="10" t="s">
        <v>48</v>
      </c>
      <c r="D595" s="10" t="s">
        <v>722</v>
      </c>
      <c r="E595" s="11" t="n">
        <v>1490</v>
      </c>
      <c r="F595" s="11" t="n">
        <v>455</v>
      </c>
      <c r="G595" s="12" t="n">
        <v>0.69</v>
      </c>
      <c r="H595" s="13" t="n">
        <v>4.1</v>
      </c>
      <c r="I595" s="11" t="n">
        <v>161677</v>
      </c>
      <c r="J595" s="11" t="n">
        <f aca="false">E595-F595</f>
        <v>1035</v>
      </c>
      <c r="K595" s="10" t="str">
        <f aca="false">IF(G595&lt;0.2,"0-19%",IF(G595&lt;0.4,"20-39%",IF(G595&lt;0.6,"40-59%",IF(G595&lt;0.8,"60-79%","80%+"))))</f>
        <v>60-79%</v>
      </c>
      <c r="L595" s="10" t="str">
        <f aca="false">IF(H595="","No rating",IF(H595&lt;3.5,"Below 3.5",IF(H595&lt;4,"3.5-3.9",IF(H595&lt;4.5,"4.0-4.4","4.5+"))))</f>
        <v>4.0-4.4</v>
      </c>
    </row>
    <row r="596" customFormat="false" ht="15" hidden="false" customHeight="false" outlineLevel="0" collapsed="false">
      <c r="A596" s="10" t="s">
        <v>1213</v>
      </c>
      <c r="B596" s="10" t="s">
        <v>1214</v>
      </c>
      <c r="C596" s="10" t="s">
        <v>48</v>
      </c>
      <c r="D596" s="10" t="s">
        <v>1193</v>
      </c>
      <c r="E596" s="11" t="n">
        <v>995</v>
      </c>
      <c r="F596" s="11" t="n">
        <v>399</v>
      </c>
      <c r="G596" s="12" t="n">
        <v>0.6</v>
      </c>
      <c r="H596" s="13" t="n">
        <v>3.9</v>
      </c>
      <c r="I596" s="11" t="n">
        <v>21372</v>
      </c>
      <c r="J596" s="11" t="n">
        <f aca="false">E596-F596</f>
        <v>596</v>
      </c>
      <c r="K596" s="10" t="str">
        <f aca="false">IF(G596&lt;0.2,"0-19%",IF(G596&lt;0.4,"20-39%",IF(G596&lt;0.6,"40-59%",IF(G596&lt;0.8,"60-79%","80%+"))))</f>
        <v>60-79%</v>
      </c>
      <c r="L596" s="10" t="str">
        <f aca="false">IF(H596="","No rating",IF(H596&lt;3.5,"Below 3.5",IF(H596&lt;4,"3.5-3.9",IF(H596&lt;4.5,"4.0-4.4","4.5+"))))</f>
        <v>3.5-3.9</v>
      </c>
    </row>
    <row r="597" customFormat="false" ht="15" hidden="false" customHeight="false" outlineLevel="0" collapsed="false">
      <c r="A597" s="10" t="s">
        <v>1215</v>
      </c>
      <c r="B597" s="10" t="s">
        <v>1216</v>
      </c>
      <c r="C597" s="10" t="s">
        <v>21</v>
      </c>
      <c r="D597" s="10" t="s">
        <v>1217</v>
      </c>
      <c r="E597" s="11" t="n">
        <v>761</v>
      </c>
      <c r="F597" s="11" t="n">
        <v>717</v>
      </c>
      <c r="G597" s="12" t="n">
        <v>0.06</v>
      </c>
      <c r="H597" s="13" t="n">
        <v>4</v>
      </c>
      <c r="I597" s="11" t="n">
        <v>7199</v>
      </c>
      <c r="J597" s="11" t="n">
        <f aca="false">E597-F597</f>
        <v>44</v>
      </c>
      <c r="K597" s="10" t="str">
        <f aca="false">IF(G597&lt;0.2,"0-19%",IF(G597&lt;0.4,"20-39%",IF(G597&lt;0.6,"40-59%",IF(G597&lt;0.8,"60-79%","80%+"))))</f>
        <v>0-19%</v>
      </c>
      <c r="L597" s="10" t="str">
        <f aca="false">IF(H597="","No rating",IF(H597&lt;3.5,"Below 3.5",IF(H597&lt;4,"3.5-3.9",IF(H597&lt;4.5,"4.0-4.4","4.5+"))))</f>
        <v>4.0-4.4</v>
      </c>
    </row>
    <row r="598" customFormat="false" ht="15" hidden="false" customHeight="false" outlineLevel="0" collapsed="false">
      <c r="A598" s="10" t="s">
        <v>1218</v>
      </c>
      <c r="B598" s="10" t="s">
        <v>1219</v>
      </c>
      <c r="C598" s="10" t="s">
        <v>21</v>
      </c>
      <c r="D598" s="10" t="s">
        <v>22</v>
      </c>
      <c r="E598" s="11" t="n">
        <v>299</v>
      </c>
      <c r="F598" s="11" t="n">
        <v>39</v>
      </c>
      <c r="G598" s="12" t="n">
        <v>0.87</v>
      </c>
      <c r="H598" s="13" t="n">
        <v>3.5</v>
      </c>
      <c r="I598" s="11" t="n">
        <v>15233</v>
      </c>
      <c r="J598" s="11" t="n">
        <f aca="false">E598-F598</f>
        <v>260</v>
      </c>
      <c r="K598" s="10" t="str">
        <f aca="false">IF(G598&lt;0.2,"0-19%",IF(G598&lt;0.4,"20-39%",IF(G598&lt;0.6,"40-59%",IF(G598&lt;0.8,"60-79%","80%+"))))</f>
        <v>80%+</v>
      </c>
      <c r="L598" s="10" t="str">
        <f aca="false">IF(H598="","No rating",IF(H598&lt;3.5,"Below 3.5",IF(H598&lt;4,"3.5-3.9",IF(H598&lt;4.5,"4.0-4.4","4.5+"))))</f>
        <v>3.5-3.9</v>
      </c>
    </row>
    <row r="599" customFormat="false" ht="15" hidden="false" customHeight="false" outlineLevel="0" collapsed="false">
      <c r="A599" s="10" t="s">
        <v>1220</v>
      </c>
      <c r="B599" s="10" t="s">
        <v>1221</v>
      </c>
      <c r="C599" s="10" t="s">
        <v>21</v>
      </c>
      <c r="D599" s="10" t="s">
        <v>1135</v>
      </c>
      <c r="E599" s="11" t="n">
        <v>2500</v>
      </c>
      <c r="F599" s="11" t="n">
        <v>889</v>
      </c>
      <c r="G599" s="12" t="n">
        <v>0.64</v>
      </c>
      <c r="H599" s="13" t="n">
        <v>4.3</v>
      </c>
      <c r="I599" s="11" t="n">
        <v>55747</v>
      </c>
      <c r="J599" s="11" t="n">
        <f aca="false">E599-F599</f>
        <v>1611</v>
      </c>
      <c r="K599" s="10" t="str">
        <f aca="false">IF(G599&lt;0.2,"0-19%",IF(G599&lt;0.4,"20-39%",IF(G599&lt;0.6,"40-59%",IF(G599&lt;0.8,"60-79%","80%+"))))</f>
        <v>60-79%</v>
      </c>
      <c r="L599" s="10" t="str">
        <f aca="false">IF(H599="","No rating",IF(H599&lt;3.5,"Below 3.5",IF(H599&lt;4,"3.5-3.9",IF(H599&lt;4.5,"4.0-4.4","4.5+"))))</f>
        <v>4.0-4.4</v>
      </c>
    </row>
    <row r="600" customFormat="false" ht="15" hidden="false" customHeight="false" outlineLevel="0" collapsed="false">
      <c r="A600" s="10" t="s">
        <v>1222</v>
      </c>
      <c r="B600" s="10" t="s">
        <v>1223</v>
      </c>
      <c r="C600" s="10" t="s">
        <v>48</v>
      </c>
      <c r="D600" s="10" t="s">
        <v>722</v>
      </c>
      <c r="E600" s="11" t="n">
        <v>4999</v>
      </c>
      <c r="F600" s="11" t="n">
        <v>1199</v>
      </c>
      <c r="G600" s="12" t="n">
        <v>0.76</v>
      </c>
      <c r="H600" s="13" t="n">
        <v>3.8</v>
      </c>
      <c r="I600" s="11" t="n">
        <v>14961</v>
      </c>
      <c r="J600" s="11" t="n">
        <f aca="false">E600-F600</f>
        <v>3800</v>
      </c>
      <c r="K600" s="10" t="str">
        <f aca="false">IF(G600&lt;0.2,"0-19%",IF(G600&lt;0.4,"20-39%",IF(G600&lt;0.6,"40-59%",IF(G600&lt;0.8,"60-79%","80%+"))))</f>
        <v>60-79%</v>
      </c>
      <c r="L600" s="10" t="str">
        <f aca="false">IF(H600="","No rating",IF(H600&lt;3.5,"Below 3.5",IF(H600&lt;4,"3.5-3.9",IF(H600&lt;4.5,"4.0-4.4","4.5+"))))</f>
        <v>3.5-3.9</v>
      </c>
    </row>
    <row r="601" customFormat="false" ht="15" hidden="false" customHeight="false" outlineLevel="0" collapsed="false">
      <c r="A601" s="10" t="s">
        <v>1224</v>
      </c>
      <c r="B601" s="10" t="s">
        <v>1225</v>
      </c>
      <c r="C601" s="10" t="s">
        <v>21</v>
      </c>
      <c r="D601" s="10" t="s">
        <v>22</v>
      </c>
      <c r="E601" s="11" t="n">
        <v>1299</v>
      </c>
      <c r="F601" s="11" t="n">
        <v>569</v>
      </c>
      <c r="G601" s="12" t="n">
        <v>0.56</v>
      </c>
      <c r="H601" s="13" t="n">
        <v>4.4</v>
      </c>
      <c r="I601" s="11" t="n">
        <v>9275</v>
      </c>
      <c r="J601" s="11" t="n">
        <f aca="false">E601-F601</f>
        <v>730</v>
      </c>
      <c r="K601" s="10" t="str">
        <f aca="false">IF(G601&lt;0.2,"0-19%",IF(G601&lt;0.4,"20-39%",IF(G601&lt;0.6,"40-59%",IF(G601&lt;0.8,"60-79%","80%+"))))</f>
        <v>40-59%</v>
      </c>
      <c r="L601" s="10" t="str">
        <f aca="false">IF(H601="","No rating",IF(H601&lt;3.5,"Below 3.5",IF(H601&lt;4,"3.5-3.9",IF(H601&lt;4.5,"4.0-4.4","4.5+"))))</f>
        <v>4.0-4.4</v>
      </c>
    </row>
    <row r="602" customFormat="false" ht="15" hidden="false" customHeight="false" outlineLevel="0" collapsed="false">
      <c r="A602" s="10" t="s">
        <v>1226</v>
      </c>
      <c r="B602" s="10" t="s">
        <v>1227</v>
      </c>
      <c r="C602" s="10" t="s">
        <v>48</v>
      </c>
      <c r="D602" s="10" t="s">
        <v>722</v>
      </c>
      <c r="E602" s="11" t="n">
        <v>8999</v>
      </c>
      <c r="F602" s="11" t="n">
        <v>1499</v>
      </c>
      <c r="G602" s="12" t="n">
        <v>0.83</v>
      </c>
      <c r="H602" s="13" t="n">
        <v>3.7</v>
      </c>
      <c r="I602" s="11" t="n">
        <v>28324</v>
      </c>
      <c r="J602" s="11" t="n">
        <f aca="false">E602-F602</f>
        <v>7500</v>
      </c>
      <c r="K602" s="10" t="str">
        <f aca="false">IF(G602&lt;0.2,"0-19%",IF(G602&lt;0.4,"20-39%",IF(G602&lt;0.6,"40-59%",IF(G602&lt;0.8,"60-79%","80%+"))))</f>
        <v>80%+</v>
      </c>
      <c r="L602" s="10" t="str">
        <f aca="false">IF(H602="","No rating",IF(H602&lt;3.5,"Below 3.5",IF(H602&lt;4,"3.5-3.9",IF(H602&lt;4.5,"4.0-4.4","4.5+"))))</f>
        <v>3.5-3.9</v>
      </c>
    </row>
    <row r="603" customFormat="false" ht="15" hidden="false" customHeight="false" outlineLevel="0" collapsed="false">
      <c r="A603" s="10" t="s">
        <v>1228</v>
      </c>
      <c r="B603" s="10" t="s">
        <v>1229</v>
      </c>
      <c r="C603" s="10" t="s">
        <v>48</v>
      </c>
      <c r="D603" s="10" t="s">
        <v>1174</v>
      </c>
      <c r="E603" s="11" t="n">
        <v>180</v>
      </c>
      <c r="F603" s="11" t="n">
        <v>149</v>
      </c>
      <c r="G603" s="12" t="n">
        <v>0.17</v>
      </c>
      <c r="H603" s="13" t="n">
        <v>4.4</v>
      </c>
      <c r="I603" s="11" t="n">
        <v>644</v>
      </c>
      <c r="J603" s="11" t="n">
        <f aca="false">E603-F603</f>
        <v>31</v>
      </c>
      <c r="K603" s="10" t="str">
        <f aca="false">IF(G603&lt;0.2,"0-19%",IF(G603&lt;0.4,"20-39%",IF(G603&lt;0.6,"40-59%",IF(G603&lt;0.8,"60-79%","80%+"))))</f>
        <v>0-19%</v>
      </c>
      <c r="L603" s="10" t="str">
        <f aca="false">IF(H603="","No rating",IF(H603&lt;3.5,"Below 3.5",IF(H603&lt;4,"3.5-3.9",IF(H603&lt;4.5,"4.0-4.4","4.5+"))))</f>
        <v>4.0-4.4</v>
      </c>
    </row>
    <row r="604" customFormat="false" ht="15" hidden="false" customHeight="false" outlineLevel="0" collapsed="false">
      <c r="A604" s="10" t="s">
        <v>1230</v>
      </c>
      <c r="B604" s="10" t="s">
        <v>1231</v>
      </c>
      <c r="C604" s="10" t="s">
        <v>21</v>
      </c>
      <c r="D604" s="10" t="s">
        <v>22</v>
      </c>
      <c r="E604" s="11" t="n">
        <v>549</v>
      </c>
      <c r="F604" s="11" t="n">
        <v>399</v>
      </c>
      <c r="G604" s="12" t="n">
        <v>0.27</v>
      </c>
      <c r="H604" s="13" t="n">
        <v>4.4</v>
      </c>
      <c r="I604" s="11" t="n">
        <v>18139</v>
      </c>
      <c r="J604" s="11" t="n">
        <f aca="false">E604-F604</f>
        <v>150</v>
      </c>
      <c r="K604" s="10" t="str">
        <f aca="false">IF(G604&lt;0.2,"0-19%",IF(G604&lt;0.4,"20-39%",IF(G604&lt;0.6,"40-59%",IF(G604&lt;0.8,"60-79%","80%+"))))</f>
        <v>20-39%</v>
      </c>
      <c r="L604" s="10" t="str">
        <f aca="false">IF(H604="","No rating",IF(H604&lt;3.5,"Below 3.5",IF(H604&lt;4,"3.5-3.9",IF(H604&lt;4.5,"4.0-4.4","4.5+"))))</f>
        <v>4.0-4.4</v>
      </c>
    </row>
    <row r="605" customFormat="false" ht="15" hidden="false" customHeight="false" outlineLevel="0" collapsed="false">
      <c r="A605" s="10" t="s">
        <v>1232</v>
      </c>
      <c r="B605" s="10" t="s">
        <v>1233</v>
      </c>
      <c r="C605" s="10" t="s">
        <v>1181</v>
      </c>
      <c r="D605" s="10" t="s">
        <v>1182</v>
      </c>
      <c r="E605" s="11" t="n">
        <v>225</v>
      </c>
      <c r="F605" s="11" t="n">
        <v>191</v>
      </c>
      <c r="G605" s="12" t="n">
        <v>0.15</v>
      </c>
      <c r="H605" s="13" t="n">
        <v>4.4</v>
      </c>
      <c r="I605" s="11" t="n">
        <v>7203</v>
      </c>
      <c r="J605" s="11" t="n">
        <f aca="false">E605-F605</f>
        <v>34</v>
      </c>
      <c r="K605" s="10" t="str">
        <f aca="false">IF(G605&lt;0.2,"0-19%",IF(G605&lt;0.4,"20-39%",IF(G605&lt;0.6,"40-59%",IF(G605&lt;0.8,"60-79%","80%+"))))</f>
        <v>0-19%</v>
      </c>
      <c r="L605" s="10" t="str">
        <f aca="false">IF(H605="","No rating",IF(H605&lt;3.5,"Below 3.5",IF(H605&lt;4,"3.5-3.9",IF(H605&lt;4.5,"4.0-4.4","4.5+"))))</f>
        <v>4.0-4.4</v>
      </c>
    </row>
    <row r="606" customFormat="false" ht="15" hidden="false" customHeight="false" outlineLevel="0" collapsed="false">
      <c r="A606" s="10" t="s">
        <v>1234</v>
      </c>
      <c r="B606" s="10" t="s">
        <v>1235</v>
      </c>
      <c r="C606" s="10" t="s">
        <v>21</v>
      </c>
      <c r="D606" s="10" t="s">
        <v>22</v>
      </c>
      <c r="E606" s="11" t="n">
        <v>999</v>
      </c>
      <c r="F606" s="11" t="n">
        <v>129</v>
      </c>
      <c r="G606" s="12" t="n">
        <v>0.87</v>
      </c>
      <c r="H606" s="13" t="n">
        <v>4.2</v>
      </c>
      <c r="I606" s="11" t="n">
        <v>491</v>
      </c>
      <c r="J606" s="11" t="n">
        <f aca="false">E606-F606</f>
        <v>870</v>
      </c>
      <c r="K606" s="10" t="str">
        <f aca="false">IF(G606&lt;0.2,"0-19%",IF(G606&lt;0.4,"20-39%",IF(G606&lt;0.6,"40-59%",IF(G606&lt;0.8,"60-79%","80%+"))))</f>
        <v>80%+</v>
      </c>
      <c r="L606" s="10" t="str">
        <f aca="false">IF(H606="","No rating",IF(H606&lt;3.5,"Below 3.5",IF(H606&lt;4,"3.5-3.9",IF(H606&lt;4.5,"4.0-4.4","4.5+"))))</f>
        <v>4.0-4.4</v>
      </c>
    </row>
    <row r="607" customFormat="false" ht="15" hidden="false" customHeight="false" outlineLevel="0" collapsed="false">
      <c r="A607" s="10" t="s">
        <v>1236</v>
      </c>
      <c r="B607" s="10" t="s">
        <v>1237</v>
      </c>
      <c r="C607" s="10" t="s">
        <v>21</v>
      </c>
      <c r="D607" s="10" t="s">
        <v>22</v>
      </c>
      <c r="E607" s="11" t="n">
        <v>599</v>
      </c>
      <c r="F607" s="11" t="n">
        <v>199</v>
      </c>
      <c r="G607" s="12" t="n">
        <v>0.67</v>
      </c>
      <c r="H607" s="13" t="n">
        <v>4.5</v>
      </c>
      <c r="I607" s="11" t="n">
        <v>13568</v>
      </c>
      <c r="J607" s="11" t="n">
        <f aca="false">E607-F607</f>
        <v>400</v>
      </c>
      <c r="K607" s="10" t="str">
        <f aca="false">IF(G607&lt;0.2,"0-19%",IF(G607&lt;0.4,"20-39%",IF(G607&lt;0.6,"40-59%",IF(G607&lt;0.8,"60-79%","80%+"))))</f>
        <v>60-79%</v>
      </c>
      <c r="L607" s="10" t="str">
        <f aca="false">IF(H607="","No rating",IF(H607&lt;3.5,"Below 3.5",IF(H607&lt;4,"3.5-3.9",IF(H607&lt;4.5,"4.0-4.4","4.5+"))))</f>
        <v>4.5+</v>
      </c>
    </row>
    <row r="608" customFormat="false" ht="15" hidden="false" customHeight="false" outlineLevel="0" collapsed="false">
      <c r="A608" s="10" t="s">
        <v>1238</v>
      </c>
      <c r="B608" s="10" t="s">
        <v>1239</v>
      </c>
      <c r="C608" s="10" t="s">
        <v>48</v>
      </c>
      <c r="D608" s="10" t="s">
        <v>722</v>
      </c>
      <c r="E608" s="11" t="n">
        <v>4499</v>
      </c>
      <c r="F608" s="11" t="n">
        <v>999</v>
      </c>
      <c r="G608" s="12" t="n">
        <v>0.78</v>
      </c>
      <c r="H608" s="13" t="n">
        <v>3.8</v>
      </c>
      <c r="I608" s="11" t="n">
        <v>3390</v>
      </c>
      <c r="J608" s="11" t="n">
        <f aca="false">E608-F608</f>
        <v>3500</v>
      </c>
      <c r="K608" s="10" t="str">
        <f aca="false">IF(G608&lt;0.2,"0-19%",IF(G608&lt;0.4,"20-39%",IF(G608&lt;0.6,"40-59%",IF(G608&lt;0.8,"60-79%","80%+"))))</f>
        <v>60-79%</v>
      </c>
      <c r="L608" s="10" t="str">
        <f aca="false">IF(H608="","No rating",IF(H608&lt;3.5,"Below 3.5",IF(H608&lt;4,"3.5-3.9",IF(H608&lt;4.5,"4.0-4.4","4.5+"))))</f>
        <v>3.5-3.9</v>
      </c>
    </row>
    <row r="609" customFormat="false" ht="15" hidden="false" customHeight="false" outlineLevel="0" collapsed="false">
      <c r="A609" s="10" t="s">
        <v>1240</v>
      </c>
      <c r="B609" s="10" t="s">
        <v>1241</v>
      </c>
      <c r="C609" s="10" t="s">
        <v>48</v>
      </c>
      <c r="D609" s="10" t="s">
        <v>722</v>
      </c>
      <c r="E609" s="11" t="n">
        <v>4499</v>
      </c>
      <c r="F609" s="11" t="n">
        <v>899</v>
      </c>
      <c r="G609" s="12" t="n">
        <v>0.8</v>
      </c>
      <c r="H609" s="13" t="n">
        <v>3.8</v>
      </c>
      <c r="I609" s="11" t="n">
        <v>103052</v>
      </c>
      <c r="J609" s="11" t="n">
        <f aca="false">E609-F609</f>
        <v>3600</v>
      </c>
      <c r="K609" s="10" t="str">
        <f aca="false">IF(G609&lt;0.2,"0-19%",IF(G609&lt;0.4,"20-39%",IF(G609&lt;0.6,"40-59%",IF(G609&lt;0.8,"60-79%","80%+"))))</f>
        <v>80%+</v>
      </c>
      <c r="L609" s="10" t="str">
        <f aca="false">IF(H609="","No rating",IF(H609&lt;3.5,"Below 3.5",IF(H609&lt;4,"3.5-3.9",IF(H609&lt;4.5,"4.0-4.4","4.5+"))))</f>
        <v>3.5-3.9</v>
      </c>
    </row>
    <row r="610" customFormat="false" ht="15" hidden="false" customHeight="false" outlineLevel="0" collapsed="false">
      <c r="A610" s="10" t="s">
        <v>1242</v>
      </c>
      <c r="B610" s="10" t="s">
        <v>1243</v>
      </c>
      <c r="C610" s="10" t="s">
        <v>1177</v>
      </c>
      <c r="D610" s="10" t="s">
        <v>1208</v>
      </c>
      <c r="E610" s="11" t="n">
        <v>550</v>
      </c>
      <c r="F610" s="11" t="n">
        <v>522</v>
      </c>
      <c r="G610" s="12" t="n">
        <v>0.05</v>
      </c>
      <c r="H610" s="13" t="n">
        <v>4.4</v>
      </c>
      <c r="I610" s="11" t="n">
        <v>12179</v>
      </c>
      <c r="J610" s="11" t="n">
        <f aca="false">E610-F610</f>
        <v>28</v>
      </c>
      <c r="K610" s="10" t="str">
        <f aca="false">IF(G610&lt;0.2,"0-19%",IF(G610&lt;0.4,"20-39%",IF(G610&lt;0.6,"40-59%",IF(G610&lt;0.8,"60-79%","80%+"))))</f>
        <v>0-19%</v>
      </c>
      <c r="L610" s="10" t="str">
        <f aca="false">IF(H610="","No rating",IF(H610&lt;3.5,"Below 3.5",IF(H610&lt;4,"3.5-3.9",IF(H610&lt;4.5,"4.0-4.4","4.5+"))))</f>
        <v>4.0-4.4</v>
      </c>
    </row>
    <row r="611" customFormat="false" ht="15" hidden="false" customHeight="false" outlineLevel="0" collapsed="false">
      <c r="A611" s="10" t="s">
        <v>1244</v>
      </c>
      <c r="B611" s="10" t="s">
        <v>1245</v>
      </c>
      <c r="C611" s="10" t="s">
        <v>48</v>
      </c>
      <c r="D611" s="10" t="s">
        <v>1193</v>
      </c>
      <c r="E611" s="11" t="n">
        <v>1999</v>
      </c>
      <c r="F611" s="11" t="n">
        <v>799</v>
      </c>
      <c r="G611" s="12" t="n">
        <v>0.6</v>
      </c>
      <c r="H611" s="13" t="n">
        <v>3.8</v>
      </c>
      <c r="I611" s="11" t="n">
        <v>12958</v>
      </c>
      <c r="J611" s="11" t="n">
        <f aca="false">E611-F611</f>
        <v>1200</v>
      </c>
      <c r="K611" s="10" t="str">
        <f aca="false">IF(G611&lt;0.2,"0-19%",IF(G611&lt;0.4,"20-39%",IF(G611&lt;0.6,"40-59%",IF(G611&lt;0.8,"60-79%","80%+"))))</f>
        <v>60-79%</v>
      </c>
      <c r="L611" s="10" t="str">
        <f aca="false">IF(H611="","No rating",IF(H611&lt;3.5,"Below 3.5",IF(H611&lt;4,"3.5-3.9",IF(H611&lt;4.5,"4.0-4.4","4.5+"))))</f>
        <v>3.5-3.9</v>
      </c>
    </row>
    <row r="612" customFormat="false" ht="15" hidden="false" customHeight="false" outlineLevel="0" collapsed="false">
      <c r="A612" s="10" t="s">
        <v>1246</v>
      </c>
      <c r="B612" s="10" t="s">
        <v>1247</v>
      </c>
      <c r="C612" s="10" t="s">
        <v>21</v>
      </c>
      <c r="D612" s="10" t="s">
        <v>22</v>
      </c>
      <c r="E612" s="11" t="n">
        <v>1199</v>
      </c>
      <c r="F612" s="11" t="n">
        <v>681</v>
      </c>
      <c r="G612" s="12" t="n">
        <v>0.43</v>
      </c>
      <c r="H612" s="13" t="n">
        <v>4.2</v>
      </c>
      <c r="I612" s="11" t="n">
        <v>8258</v>
      </c>
      <c r="J612" s="11" t="n">
        <f aca="false">E612-F612</f>
        <v>518</v>
      </c>
      <c r="K612" s="10" t="str">
        <f aca="false">IF(G612&lt;0.2,"0-19%",IF(G612&lt;0.4,"20-39%",IF(G612&lt;0.6,"40-59%",IF(G612&lt;0.8,"60-79%","80%+"))))</f>
        <v>40-59%</v>
      </c>
      <c r="L612" s="10" t="str">
        <f aca="false">IF(H612="","No rating",IF(H612&lt;3.5,"Below 3.5",IF(H612&lt;4,"3.5-3.9",IF(H612&lt;4.5,"4.0-4.4","4.5+"))))</f>
        <v>4.0-4.4</v>
      </c>
    </row>
    <row r="613" customFormat="false" ht="15" hidden="false" customHeight="false" outlineLevel="0" collapsed="false">
      <c r="A613" s="10" t="s">
        <v>1248</v>
      </c>
      <c r="B613" s="10" t="s">
        <v>1249</v>
      </c>
      <c r="C613" s="10" t="s">
        <v>21</v>
      </c>
      <c r="D613" s="10" t="s">
        <v>39</v>
      </c>
      <c r="E613" s="11" t="n">
        <v>3490</v>
      </c>
      <c r="F613" s="11" t="n">
        <v>1199</v>
      </c>
      <c r="G613" s="12" t="n">
        <v>0.66</v>
      </c>
      <c r="H613" s="13" t="n">
        <v>4.1</v>
      </c>
      <c r="I613" s="11" t="n">
        <v>11716</v>
      </c>
      <c r="J613" s="11" t="n">
        <f aca="false">E613-F613</f>
        <v>2291</v>
      </c>
      <c r="K613" s="10" t="str">
        <f aca="false">IF(G613&lt;0.2,"0-19%",IF(G613&lt;0.4,"20-39%",IF(G613&lt;0.6,"40-59%",IF(G613&lt;0.8,"60-79%","80%+"))))</f>
        <v>60-79%</v>
      </c>
      <c r="L613" s="10" t="str">
        <f aca="false">IF(H613="","No rating",IF(H613&lt;3.5,"Below 3.5",IF(H613&lt;4,"3.5-3.9",IF(H613&lt;4.5,"4.0-4.4","4.5+"))))</f>
        <v>4.0-4.4</v>
      </c>
    </row>
    <row r="614" customFormat="false" ht="15" hidden="false" customHeight="false" outlineLevel="0" collapsed="false">
      <c r="A614" s="10" t="s">
        <v>1250</v>
      </c>
      <c r="B614" s="10" t="s">
        <v>1251</v>
      </c>
      <c r="C614" s="10" t="s">
        <v>21</v>
      </c>
      <c r="D614" s="10" t="s">
        <v>39</v>
      </c>
      <c r="E614" s="11" t="n">
        <v>4999</v>
      </c>
      <c r="F614" s="11" t="n">
        <v>2499</v>
      </c>
      <c r="G614" s="12" t="n">
        <v>0.5</v>
      </c>
      <c r="H614" s="13" t="n">
        <v>4.4</v>
      </c>
      <c r="I614" s="11" t="n">
        <v>35024</v>
      </c>
      <c r="J614" s="11" t="n">
        <f aca="false">E614-F614</f>
        <v>2500</v>
      </c>
      <c r="K614" s="10" t="str">
        <f aca="false">IF(G614&lt;0.2,"0-19%",IF(G614&lt;0.4,"20-39%",IF(G614&lt;0.6,"40-59%",IF(G614&lt;0.8,"60-79%","80%+"))))</f>
        <v>40-59%</v>
      </c>
      <c r="L614" s="10" t="str">
        <f aca="false">IF(H614="","No rating",IF(H614&lt;3.5,"Below 3.5",IF(H614&lt;4,"3.5-3.9",IF(H614&lt;4.5,"4.0-4.4","4.5+"))))</f>
        <v>4.0-4.4</v>
      </c>
    </row>
    <row r="615" customFormat="false" ht="15" hidden="false" customHeight="false" outlineLevel="0" collapsed="false">
      <c r="A615" s="10" t="s">
        <v>1252</v>
      </c>
      <c r="B615" s="10" t="s">
        <v>1253</v>
      </c>
      <c r="C615" s="10" t="s">
        <v>48</v>
      </c>
      <c r="D615" s="10" t="s">
        <v>722</v>
      </c>
      <c r="E615" s="11" t="n">
        <v>4999</v>
      </c>
      <c r="F615" s="11" t="n">
        <v>1799</v>
      </c>
      <c r="G615" s="12" t="n">
        <v>0.64</v>
      </c>
      <c r="H615" s="13" t="n">
        <v>4.1</v>
      </c>
      <c r="I615" s="11" t="n">
        <v>55192</v>
      </c>
      <c r="J615" s="11" t="n">
        <f aca="false">E615-F615</f>
        <v>3200</v>
      </c>
      <c r="K615" s="10" t="str">
        <f aca="false">IF(G615&lt;0.2,"0-19%",IF(G615&lt;0.4,"20-39%",IF(G615&lt;0.6,"40-59%",IF(G615&lt;0.8,"60-79%","80%+"))))</f>
        <v>60-79%</v>
      </c>
      <c r="L615" s="10" t="str">
        <f aca="false">IF(H615="","No rating",IF(H615&lt;3.5,"Below 3.5",IF(H615&lt;4,"3.5-3.9",IF(H615&lt;4.5,"4.0-4.4","4.5+"))))</f>
        <v>4.0-4.4</v>
      </c>
    </row>
    <row r="616" customFormat="false" ht="15" hidden="false" customHeight="false" outlineLevel="0" collapsed="false">
      <c r="A616" s="10" t="s">
        <v>1254</v>
      </c>
      <c r="B616" s="10" t="s">
        <v>1255</v>
      </c>
      <c r="C616" s="10" t="s">
        <v>48</v>
      </c>
      <c r="D616" s="10" t="s">
        <v>722</v>
      </c>
      <c r="E616" s="11" t="n">
        <v>599</v>
      </c>
      <c r="F616" s="11" t="n">
        <v>429</v>
      </c>
      <c r="G616" s="12" t="n">
        <v>0.28</v>
      </c>
      <c r="H616" s="13" t="n">
        <v>4.1</v>
      </c>
      <c r="I616" s="11" t="n">
        <v>119466</v>
      </c>
      <c r="J616" s="11" t="n">
        <f aca="false">E616-F616</f>
        <v>170</v>
      </c>
      <c r="K616" s="10" t="str">
        <f aca="false">IF(G616&lt;0.2,"0-19%",IF(G616&lt;0.4,"20-39%",IF(G616&lt;0.6,"40-59%",IF(G616&lt;0.8,"60-79%","80%+"))))</f>
        <v>20-39%</v>
      </c>
      <c r="L616" s="10" t="str">
        <f aca="false">IF(H616="","No rating",IF(H616&lt;3.5,"Below 3.5",IF(H616&lt;4,"3.5-3.9",IF(H616&lt;4.5,"4.0-4.4","4.5+"))))</f>
        <v>4.0-4.4</v>
      </c>
    </row>
    <row r="617" customFormat="false" ht="15" hidden="false" customHeight="false" outlineLevel="0" collapsed="false">
      <c r="A617" s="10" t="s">
        <v>1256</v>
      </c>
      <c r="B617" s="10" t="s">
        <v>1257</v>
      </c>
      <c r="C617" s="10" t="s">
        <v>21</v>
      </c>
      <c r="D617" s="10" t="s">
        <v>22</v>
      </c>
      <c r="E617" s="11" t="n">
        <v>499</v>
      </c>
      <c r="F617" s="11" t="n">
        <v>100</v>
      </c>
      <c r="G617" s="12" t="n">
        <v>0.8</v>
      </c>
      <c r="H617" s="13" t="n">
        <v>3.5</v>
      </c>
      <c r="I617" s="11" t="n">
        <v>9638</v>
      </c>
      <c r="J617" s="11" t="n">
        <f aca="false">E617-F617</f>
        <v>399</v>
      </c>
      <c r="K617" s="10" t="str">
        <f aca="false">IF(G617&lt;0.2,"0-19%",IF(G617&lt;0.4,"20-39%",IF(G617&lt;0.6,"40-59%",IF(G617&lt;0.8,"60-79%","80%+"))))</f>
        <v>80%+</v>
      </c>
      <c r="L617" s="10" t="str">
        <f aca="false">IF(H617="","No rating",IF(H617&lt;3.5,"Below 3.5",IF(H617&lt;4,"3.5-3.9",IF(H617&lt;4.5,"4.0-4.4","4.5+"))))</f>
        <v>3.5-3.9</v>
      </c>
    </row>
    <row r="618" customFormat="false" ht="15" hidden="false" customHeight="false" outlineLevel="0" collapsed="false">
      <c r="A618" s="10" t="s">
        <v>1258</v>
      </c>
      <c r="B618" s="10" t="s">
        <v>1259</v>
      </c>
      <c r="C618" s="10" t="s">
        <v>21</v>
      </c>
      <c r="D618" s="10" t="s">
        <v>22</v>
      </c>
      <c r="E618" s="11" t="n">
        <v>399</v>
      </c>
      <c r="F618" s="11" t="n">
        <v>329</v>
      </c>
      <c r="G618" s="12" t="n">
        <v>0.18</v>
      </c>
      <c r="H618" s="13" t="n">
        <v>3.6</v>
      </c>
      <c r="I618" s="11" t="n">
        <v>33735</v>
      </c>
      <c r="J618" s="11" t="n">
        <f aca="false">E618-F618</f>
        <v>70</v>
      </c>
      <c r="K618" s="10" t="str">
        <f aca="false">IF(G618&lt;0.2,"0-19%",IF(G618&lt;0.4,"20-39%",IF(G618&lt;0.6,"40-59%",IF(G618&lt;0.8,"60-79%","80%+"))))</f>
        <v>0-19%</v>
      </c>
      <c r="L618" s="10" t="str">
        <f aca="false">IF(H618="","No rating",IF(H618&lt;3.5,"Below 3.5",IF(H618&lt;4,"3.5-3.9",IF(H618&lt;4.5,"4.0-4.4","4.5+"))))</f>
        <v>3.5-3.9</v>
      </c>
    </row>
    <row r="619" customFormat="false" ht="15" hidden="false" customHeight="false" outlineLevel="0" collapsed="false">
      <c r="A619" s="10" t="s">
        <v>1260</v>
      </c>
      <c r="B619" s="10" t="s">
        <v>1261</v>
      </c>
      <c r="C619" s="10" t="s">
        <v>21</v>
      </c>
      <c r="D619" s="10" t="s">
        <v>22</v>
      </c>
      <c r="E619" s="11" t="n">
        <v>299</v>
      </c>
      <c r="F619" s="11" t="n">
        <v>139</v>
      </c>
      <c r="G619" s="12" t="n">
        <v>0.54</v>
      </c>
      <c r="H619" s="13" t="n">
        <v>3.8</v>
      </c>
      <c r="I619" s="11" t="n">
        <v>3044</v>
      </c>
      <c r="J619" s="11" t="n">
        <f aca="false">E619-F619</f>
        <v>160</v>
      </c>
      <c r="K619" s="10" t="str">
        <f aca="false">IF(G619&lt;0.2,"0-19%",IF(G619&lt;0.4,"20-39%",IF(G619&lt;0.6,"40-59%",IF(G619&lt;0.8,"60-79%","80%+"))))</f>
        <v>40-59%</v>
      </c>
      <c r="L619" s="10" t="str">
        <f aca="false">IF(H619="","No rating",IF(H619&lt;3.5,"Below 3.5",IF(H619&lt;4,"3.5-3.9",IF(H619&lt;4.5,"4.0-4.4","4.5+"))))</f>
        <v>3.5-3.9</v>
      </c>
    </row>
    <row r="620" customFormat="false" ht="15" hidden="false" customHeight="false" outlineLevel="0" collapsed="false">
      <c r="A620" s="10" t="s">
        <v>1262</v>
      </c>
      <c r="B620" s="10" t="s">
        <v>1263</v>
      </c>
      <c r="C620" s="10" t="s">
        <v>48</v>
      </c>
      <c r="D620" s="10" t="s">
        <v>722</v>
      </c>
      <c r="E620" s="11" t="n">
        <v>2499</v>
      </c>
      <c r="F620" s="11" t="n">
        <v>1199</v>
      </c>
      <c r="G620" s="12" t="n">
        <v>0.52</v>
      </c>
      <c r="H620" s="13" t="n">
        <v>4</v>
      </c>
      <c r="I620" s="11" t="n">
        <v>33584</v>
      </c>
      <c r="J620" s="11" t="n">
        <f aca="false">E620-F620</f>
        <v>1300</v>
      </c>
      <c r="K620" s="10" t="str">
        <f aca="false">IF(G620&lt;0.2,"0-19%",IF(G620&lt;0.4,"20-39%",IF(G620&lt;0.6,"40-59%",IF(G620&lt;0.8,"60-79%","80%+"))))</f>
        <v>40-59%</v>
      </c>
      <c r="L620" s="10" t="str">
        <f aca="false">IF(H620="","No rating",IF(H620&lt;3.5,"Below 3.5",IF(H620&lt;4,"3.5-3.9",IF(H620&lt;4.5,"4.0-4.4","4.5+"))))</f>
        <v>4.0-4.4</v>
      </c>
    </row>
    <row r="621" customFormat="false" ht="15" hidden="false" customHeight="false" outlineLevel="0" collapsed="false">
      <c r="A621" s="10" t="s">
        <v>1264</v>
      </c>
      <c r="B621" s="10" t="s">
        <v>1265</v>
      </c>
      <c r="C621" s="10" t="s">
        <v>48</v>
      </c>
      <c r="D621" s="10" t="s">
        <v>290</v>
      </c>
      <c r="E621" s="11" t="n">
        <v>2299</v>
      </c>
      <c r="F621" s="11" t="n">
        <v>1049</v>
      </c>
      <c r="G621" s="12" t="n">
        <v>0.54</v>
      </c>
      <c r="H621" s="13" t="n">
        <v>3.9</v>
      </c>
      <c r="I621" s="11" t="n">
        <v>1779</v>
      </c>
      <c r="J621" s="11" t="n">
        <f aca="false">E621-F621</f>
        <v>1250</v>
      </c>
      <c r="K621" s="10" t="str">
        <f aca="false">IF(G621&lt;0.2,"0-19%",IF(G621&lt;0.4,"20-39%",IF(G621&lt;0.6,"40-59%",IF(G621&lt;0.8,"60-79%","80%+"))))</f>
        <v>40-59%</v>
      </c>
      <c r="L621" s="10" t="str">
        <f aca="false">IF(H621="","No rating",IF(H621&lt;3.5,"Below 3.5",IF(H621&lt;4,"3.5-3.9",IF(H621&lt;4.5,"4.0-4.4","4.5+"))))</f>
        <v>3.5-3.9</v>
      </c>
    </row>
    <row r="622" customFormat="false" ht="15" hidden="false" customHeight="false" outlineLevel="0" collapsed="false">
      <c r="A622" s="10" t="s">
        <v>1266</v>
      </c>
      <c r="B622" s="10" t="s">
        <v>1267</v>
      </c>
      <c r="C622" s="10" t="s">
        <v>48</v>
      </c>
      <c r="D622" s="10" t="s">
        <v>1174</v>
      </c>
      <c r="E622" s="11" t="n">
        <v>250</v>
      </c>
      <c r="F622" s="11" t="n">
        <v>225</v>
      </c>
      <c r="G622" s="12" t="n">
        <v>0.1</v>
      </c>
      <c r="H622" s="13" t="n">
        <v>4.4</v>
      </c>
      <c r="I622" s="11" t="n">
        <v>26556</v>
      </c>
      <c r="J622" s="11" t="n">
        <f aca="false">E622-F622</f>
        <v>25</v>
      </c>
      <c r="K622" s="10" t="str">
        <f aca="false">IF(G622&lt;0.2,"0-19%",IF(G622&lt;0.4,"20-39%",IF(G622&lt;0.6,"40-59%",IF(G622&lt;0.8,"60-79%","80%+"))))</f>
        <v>0-19%</v>
      </c>
      <c r="L622" s="10" t="str">
        <f aca="false">IF(H622="","No rating",IF(H622&lt;3.5,"Below 3.5",IF(H622&lt;4,"3.5-3.9",IF(H622&lt;4.5,"4.0-4.4","4.5+"))))</f>
        <v>4.0-4.4</v>
      </c>
    </row>
    <row r="623" customFormat="false" ht="15" hidden="false" customHeight="false" outlineLevel="0" collapsed="false">
      <c r="A623" s="10" t="s">
        <v>1268</v>
      </c>
      <c r="B623" s="10" t="s">
        <v>1269</v>
      </c>
      <c r="C623" s="10" t="s">
        <v>21</v>
      </c>
      <c r="D623" s="10" t="s">
        <v>22</v>
      </c>
      <c r="E623" s="11" t="n">
        <v>1499</v>
      </c>
      <c r="F623" s="11" t="n">
        <v>656</v>
      </c>
      <c r="G623" s="12" t="n">
        <v>0.56</v>
      </c>
      <c r="H623" s="13" t="n">
        <v>4.3</v>
      </c>
      <c r="I623" s="11" t="n">
        <v>25903</v>
      </c>
      <c r="J623" s="11" t="n">
        <f aca="false">E623-F623</f>
        <v>843</v>
      </c>
      <c r="K623" s="10" t="str">
        <f aca="false">IF(G623&lt;0.2,"0-19%",IF(G623&lt;0.4,"20-39%",IF(G623&lt;0.6,"40-59%",IF(G623&lt;0.8,"60-79%","80%+"))))</f>
        <v>40-59%</v>
      </c>
      <c r="L623" s="10" t="str">
        <f aca="false">IF(H623="","No rating",IF(H623&lt;3.5,"Below 3.5",IF(H623&lt;4,"3.5-3.9",IF(H623&lt;4.5,"4.0-4.4","4.5+"))))</f>
        <v>4.0-4.4</v>
      </c>
    </row>
    <row r="624" customFormat="false" ht="15" hidden="false" customHeight="false" outlineLevel="0" collapsed="false">
      <c r="A624" s="10" t="s">
        <v>1270</v>
      </c>
      <c r="B624" s="10" t="s">
        <v>1271</v>
      </c>
      <c r="C624" s="10" t="s">
        <v>21</v>
      </c>
      <c r="D624" s="10" t="s">
        <v>1135</v>
      </c>
      <c r="E624" s="11" t="n">
        <v>2800</v>
      </c>
      <c r="F624" s="11" t="n">
        <v>1109</v>
      </c>
      <c r="G624" s="12" t="n">
        <v>0.6</v>
      </c>
      <c r="H624" s="13" t="n">
        <v>4.3</v>
      </c>
      <c r="I624" s="11" t="n">
        <v>53464</v>
      </c>
      <c r="J624" s="11" t="n">
        <f aca="false">E624-F624</f>
        <v>1691</v>
      </c>
      <c r="K624" s="10" t="str">
        <f aca="false">IF(G624&lt;0.2,"0-19%",IF(G624&lt;0.4,"20-39%",IF(G624&lt;0.6,"40-59%",IF(G624&lt;0.8,"60-79%","80%+"))))</f>
        <v>60-79%</v>
      </c>
      <c r="L624" s="10" t="str">
        <f aca="false">IF(H624="","No rating",IF(H624&lt;3.5,"Below 3.5",IF(H624&lt;4,"3.5-3.9",IF(H624&lt;4.5,"4.0-4.4","4.5+"))))</f>
        <v>4.0-4.4</v>
      </c>
    </row>
    <row r="625" customFormat="false" ht="15" hidden="false" customHeight="false" outlineLevel="0" collapsed="false">
      <c r="A625" s="10" t="s">
        <v>1272</v>
      </c>
      <c r="B625" s="10" t="s">
        <v>1273</v>
      </c>
      <c r="C625" s="10" t="s">
        <v>21</v>
      </c>
      <c r="D625" s="10" t="s">
        <v>22</v>
      </c>
      <c r="E625" s="11" t="n">
        <v>299</v>
      </c>
      <c r="F625" s="11" t="n">
        <v>169</v>
      </c>
      <c r="G625" s="12" t="n">
        <v>0.43</v>
      </c>
      <c r="H625" s="13" t="n">
        <v>4.4</v>
      </c>
      <c r="I625" s="11" t="n">
        <v>5176</v>
      </c>
      <c r="J625" s="11" t="n">
        <f aca="false">E625-F625</f>
        <v>130</v>
      </c>
      <c r="K625" s="10" t="str">
        <f aca="false">IF(G625&lt;0.2,"0-19%",IF(G625&lt;0.4,"20-39%",IF(G625&lt;0.6,"40-59%",IF(G625&lt;0.8,"60-79%","80%+"))))</f>
        <v>40-59%</v>
      </c>
      <c r="L625" s="10" t="str">
        <f aca="false">IF(H625="","No rating",IF(H625&lt;3.5,"Below 3.5",IF(H625&lt;4,"3.5-3.9",IF(H625&lt;4.5,"4.0-4.4","4.5+"))))</f>
        <v>4.0-4.4</v>
      </c>
    </row>
    <row r="626" customFormat="false" ht="15" hidden="false" customHeight="false" outlineLevel="0" collapsed="false">
      <c r="A626" s="10" t="s">
        <v>1274</v>
      </c>
      <c r="B626" s="10" t="s">
        <v>1275</v>
      </c>
      <c r="C626" s="10" t="s">
        <v>21</v>
      </c>
      <c r="D626" s="10" t="s">
        <v>1217</v>
      </c>
      <c r="E626" s="11" t="n">
        <v>404</v>
      </c>
      <c r="F626" s="11" t="n">
        <v>309</v>
      </c>
      <c r="G626" s="12" t="n">
        <v>0.24</v>
      </c>
      <c r="H626" s="13" t="n">
        <v>4.4</v>
      </c>
      <c r="I626" s="11" t="n">
        <v>8614</v>
      </c>
      <c r="J626" s="11" t="n">
        <f aca="false">E626-F626</f>
        <v>95</v>
      </c>
      <c r="K626" s="10" t="str">
        <f aca="false">IF(G626&lt;0.2,"0-19%",IF(G626&lt;0.4,"20-39%",IF(G626&lt;0.6,"40-59%",IF(G626&lt;0.8,"60-79%","80%+"))))</f>
        <v>20-39%</v>
      </c>
      <c r="L626" s="10" t="str">
        <f aca="false">IF(H626="","No rating",IF(H626&lt;3.5,"Below 3.5",IF(H626&lt;4,"3.5-3.9",IF(H626&lt;4.5,"4.0-4.4","4.5+"))))</f>
        <v>4.0-4.4</v>
      </c>
    </row>
    <row r="627" customFormat="false" ht="15" hidden="false" customHeight="false" outlineLevel="0" collapsed="false">
      <c r="A627" s="10" t="s">
        <v>1276</v>
      </c>
      <c r="B627" s="10" t="s">
        <v>1277</v>
      </c>
      <c r="C627" s="10" t="s">
        <v>48</v>
      </c>
      <c r="D627" s="10" t="s">
        <v>722</v>
      </c>
      <c r="E627" s="11" t="n">
        <v>1399</v>
      </c>
      <c r="F627" s="11" t="n">
        <v>599</v>
      </c>
      <c r="G627" s="12" t="n">
        <v>0.57</v>
      </c>
      <c r="H627" s="13" t="n">
        <v>3.8</v>
      </c>
      <c r="I627" s="11" t="n">
        <v>60026</v>
      </c>
      <c r="J627" s="11" t="n">
        <f aca="false">E627-F627</f>
        <v>800</v>
      </c>
      <c r="K627" s="10" t="str">
        <f aca="false">IF(G627&lt;0.2,"0-19%",IF(G627&lt;0.4,"20-39%",IF(G627&lt;0.6,"40-59%",IF(G627&lt;0.8,"60-79%","80%+"))))</f>
        <v>40-59%</v>
      </c>
      <c r="L627" s="10" t="str">
        <f aca="false">IF(H627="","No rating",IF(H627&lt;3.5,"Below 3.5",IF(H627&lt;4,"3.5-3.9",IF(H627&lt;4.5,"4.0-4.4","4.5+"))))</f>
        <v>3.5-3.9</v>
      </c>
    </row>
    <row r="628" customFormat="false" ht="15" hidden="false" customHeight="false" outlineLevel="0" collapsed="false">
      <c r="A628" s="10" t="s">
        <v>1278</v>
      </c>
      <c r="B628" s="10" t="s">
        <v>1279</v>
      </c>
      <c r="C628" s="10" t="s">
        <v>21</v>
      </c>
      <c r="D628" s="10" t="s">
        <v>22</v>
      </c>
      <c r="E628" s="11" t="n">
        <v>599</v>
      </c>
      <c r="F628" s="11" t="n">
        <v>299</v>
      </c>
      <c r="G628" s="12" t="n">
        <v>0.5</v>
      </c>
      <c r="H628" s="13" t="n">
        <v>3.8</v>
      </c>
      <c r="I628" s="11" t="n">
        <v>3066</v>
      </c>
      <c r="J628" s="11" t="n">
        <f aca="false">E628-F628</f>
        <v>300</v>
      </c>
      <c r="K628" s="10" t="str">
        <f aca="false">IF(G628&lt;0.2,"0-19%",IF(G628&lt;0.4,"20-39%",IF(G628&lt;0.6,"40-59%",IF(G628&lt;0.8,"60-79%","80%+"))))</f>
        <v>40-59%</v>
      </c>
      <c r="L628" s="10" t="str">
        <f aca="false">IF(H628="","No rating",IF(H628&lt;3.5,"Below 3.5",IF(H628&lt;4,"3.5-3.9",IF(H628&lt;4.5,"4.0-4.4","4.5+"))))</f>
        <v>3.5-3.9</v>
      </c>
    </row>
    <row r="629" customFormat="false" ht="15" hidden="false" customHeight="false" outlineLevel="0" collapsed="false">
      <c r="A629" s="10" t="s">
        <v>1280</v>
      </c>
      <c r="B629" s="10" t="s">
        <v>1281</v>
      </c>
      <c r="C629" s="10" t="s">
        <v>21</v>
      </c>
      <c r="D629" s="10" t="s">
        <v>22</v>
      </c>
      <c r="E629" s="11" t="n">
        <v>999</v>
      </c>
      <c r="F629" s="11" t="n">
        <v>449</v>
      </c>
      <c r="G629" s="12" t="n">
        <v>0.55</v>
      </c>
      <c r="H629" s="13" t="n">
        <v>4</v>
      </c>
      <c r="I629" s="11" t="n">
        <v>2102</v>
      </c>
      <c r="J629" s="11" t="n">
        <f aca="false">E629-F629</f>
        <v>550</v>
      </c>
      <c r="K629" s="10" t="str">
        <f aca="false">IF(G629&lt;0.2,"0-19%",IF(G629&lt;0.4,"20-39%",IF(G629&lt;0.6,"40-59%",IF(G629&lt;0.8,"60-79%","80%+"))))</f>
        <v>40-59%</v>
      </c>
      <c r="L629" s="10" t="str">
        <f aca="false">IF(H629="","No rating",IF(H629&lt;3.5,"Below 3.5",IF(H629&lt;4,"3.5-3.9",IF(H629&lt;4.5,"4.0-4.4","4.5+"))))</f>
        <v>4.0-4.4</v>
      </c>
    </row>
    <row r="630" customFormat="false" ht="15" hidden="false" customHeight="false" outlineLevel="0" collapsed="false">
      <c r="A630" s="10" t="s">
        <v>1282</v>
      </c>
      <c r="B630" s="10" t="s">
        <v>1283</v>
      </c>
      <c r="C630" s="10" t="s">
        <v>21</v>
      </c>
      <c r="D630" s="10" t="s">
        <v>22</v>
      </c>
      <c r="E630" s="11" t="n">
        <v>1295</v>
      </c>
      <c r="F630" s="11" t="n">
        <v>799</v>
      </c>
      <c r="G630" s="12" t="n">
        <v>0.38</v>
      </c>
      <c r="H630" s="13" t="n">
        <v>4.4</v>
      </c>
      <c r="I630" s="11" t="n">
        <v>34852</v>
      </c>
      <c r="J630" s="11" t="n">
        <f aca="false">E630-F630</f>
        <v>496</v>
      </c>
      <c r="K630" s="10" t="str">
        <f aca="false">IF(G630&lt;0.2,"0-19%",IF(G630&lt;0.4,"20-39%",IF(G630&lt;0.6,"40-59%",IF(G630&lt;0.8,"60-79%","80%+"))))</f>
        <v>20-39%</v>
      </c>
      <c r="L630" s="10" t="str">
        <f aca="false">IF(H630="","No rating",IF(H630&lt;3.5,"Below 3.5",IF(H630&lt;4,"3.5-3.9",IF(H630&lt;4.5,"4.0-4.4","4.5+"))))</f>
        <v>4.0-4.4</v>
      </c>
    </row>
    <row r="631" customFormat="false" ht="15" hidden="false" customHeight="false" outlineLevel="0" collapsed="false">
      <c r="A631" s="10" t="s">
        <v>1284</v>
      </c>
      <c r="B631" s="10" t="s">
        <v>1285</v>
      </c>
      <c r="C631" s="10" t="s">
        <v>1177</v>
      </c>
      <c r="D631" s="10" t="s">
        <v>1178</v>
      </c>
      <c r="E631" s="11" t="n">
        <v>160</v>
      </c>
      <c r="F631" s="11" t="n">
        <v>157</v>
      </c>
      <c r="G631" s="12" t="n">
        <v>0.02</v>
      </c>
      <c r="H631" s="13" t="n">
        <v>4.5</v>
      </c>
      <c r="I631" s="11" t="n">
        <v>8618</v>
      </c>
      <c r="J631" s="11" t="n">
        <f aca="false">E631-F631</f>
        <v>3</v>
      </c>
      <c r="K631" s="10" t="str">
        <f aca="false">IF(G631&lt;0.2,"0-19%",IF(G631&lt;0.4,"20-39%",IF(G631&lt;0.6,"40-59%",IF(G631&lt;0.8,"60-79%","80%+"))))</f>
        <v>0-19%</v>
      </c>
      <c r="L631" s="10" t="str">
        <f aca="false">IF(H631="","No rating",IF(H631&lt;3.5,"Below 3.5",IF(H631&lt;4,"3.5-3.9",IF(H631&lt;4.5,"4.0-4.4","4.5+"))))</f>
        <v>4.5+</v>
      </c>
    </row>
    <row r="632" customFormat="false" ht="15" hidden="false" customHeight="false" outlineLevel="0" collapsed="false">
      <c r="A632" s="10" t="s">
        <v>1286</v>
      </c>
      <c r="B632" s="10" t="s">
        <v>1287</v>
      </c>
      <c r="C632" s="10" t="s">
        <v>21</v>
      </c>
      <c r="D632" s="10" t="s">
        <v>22</v>
      </c>
      <c r="E632" s="11" t="n">
        <v>899</v>
      </c>
      <c r="F632" s="11" t="n">
        <v>599</v>
      </c>
      <c r="G632" s="12" t="n">
        <v>0.33</v>
      </c>
      <c r="H632" s="13" t="n">
        <v>4</v>
      </c>
      <c r="I632" s="11" t="n">
        <v>4018</v>
      </c>
      <c r="J632" s="11" t="n">
        <f aca="false">E632-F632</f>
        <v>300</v>
      </c>
      <c r="K632" s="10" t="str">
        <f aca="false">IF(G632&lt;0.2,"0-19%",IF(G632&lt;0.4,"20-39%",IF(G632&lt;0.6,"40-59%",IF(G632&lt;0.8,"60-79%","80%+"))))</f>
        <v>20-39%</v>
      </c>
      <c r="L632" s="10" t="str">
        <f aca="false">IF(H632="","No rating",IF(H632&lt;3.5,"Below 3.5",IF(H632&lt;4,"3.5-3.9",IF(H632&lt;4.5,"4.0-4.4","4.5+"))))</f>
        <v>4.0-4.4</v>
      </c>
    </row>
    <row r="633" customFormat="false" ht="15" hidden="false" customHeight="false" outlineLevel="0" collapsed="false">
      <c r="A633" s="10" t="s">
        <v>1288</v>
      </c>
      <c r="B633" s="10" t="s">
        <v>1289</v>
      </c>
      <c r="C633" s="10" t="s">
        <v>48</v>
      </c>
      <c r="D633" s="10" t="s">
        <v>1174</v>
      </c>
      <c r="E633" s="11" t="n">
        <v>599</v>
      </c>
      <c r="F633" s="11" t="n">
        <v>479</v>
      </c>
      <c r="G633" s="12" t="n">
        <v>0.2</v>
      </c>
      <c r="H633" s="13" t="n">
        <v>4.3</v>
      </c>
      <c r="I633" s="11" t="n">
        <v>11687</v>
      </c>
      <c r="J633" s="11" t="n">
        <f aca="false">E633-F633</f>
        <v>120</v>
      </c>
      <c r="K633" s="10" t="str">
        <f aca="false">IF(G633&lt;0.2,"0-19%",IF(G633&lt;0.4,"20-39%",IF(G633&lt;0.6,"40-59%",IF(G633&lt;0.8,"60-79%","80%+"))))</f>
        <v>20-39%</v>
      </c>
      <c r="L633" s="10" t="str">
        <f aca="false">IF(H633="","No rating",IF(H633&lt;3.5,"Below 3.5",IF(H633&lt;4,"3.5-3.9",IF(H633&lt;4.5,"4.0-4.4","4.5+"))))</f>
        <v>4.0-4.4</v>
      </c>
    </row>
    <row r="634" customFormat="false" ht="15" hidden="false" customHeight="false" outlineLevel="0" collapsed="false">
      <c r="A634" s="10" t="s">
        <v>1290</v>
      </c>
      <c r="B634" s="10" t="s">
        <v>1291</v>
      </c>
      <c r="C634" s="10" t="s">
        <v>48</v>
      </c>
      <c r="D634" s="10" t="s">
        <v>722</v>
      </c>
      <c r="E634" s="11" t="n">
        <v>2990</v>
      </c>
      <c r="F634" s="11" t="n">
        <v>1598</v>
      </c>
      <c r="G634" s="12" t="n">
        <v>0.47</v>
      </c>
      <c r="H634" s="13" t="n">
        <v>3.8</v>
      </c>
      <c r="I634" s="11" t="n">
        <v>11015</v>
      </c>
      <c r="J634" s="11" t="n">
        <f aca="false">E634-F634</f>
        <v>1392</v>
      </c>
      <c r="K634" s="10" t="str">
        <f aca="false">IF(G634&lt;0.2,"0-19%",IF(G634&lt;0.4,"20-39%",IF(G634&lt;0.6,"40-59%",IF(G634&lt;0.8,"60-79%","80%+"))))</f>
        <v>40-59%</v>
      </c>
      <c r="L634" s="10" t="str">
        <f aca="false">IF(H634="","No rating",IF(H634&lt;3.5,"Below 3.5",IF(H634&lt;4,"3.5-3.9",IF(H634&lt;4.5,"4.0-4.4","4.5+"))))</f>
        <v>3.5-3.9</v>
      </c>
    </row>
    <row r="635" customFormat="false" ht="15" hidden="false" customHeight="false" outlineLevel="0" collapsed="false">
      <c r="A635" s="10" t="s">
        <v>1292</v>
      </c>
      <c r="B635" s="10" t="s">
        <v>1293</v>
      </c>
      <c r="C635" s="10" t="s">
        <v>21</v>
      </c>
      <c r="D635" s="10" t="s">
        <v>39</v>
      </c>
      <c r="E635" s="11" t="n">
        <v>899</v>
      </c>
      <c r="F635" s="11" t="n">
        <v>599</v>
      </c>
      <c r="G635" s="12" t="n">
        <v>0.33</v>
      </c>
      <c r="H635" s="13" t="n">
        <v>4.3</v>
      </c>
      <c r="I635" s="11" t="n">
        <v>95116</v>
      </c>
      <c r="J635" s="11" t="n">
        <f aca="false">E635-F635</f>
        <v>300</v>
      </c>
      <c r="K635" s="10" t="str">
        <f aca="false">IF(G635&lt;0.2,"0-19%",IF(G635&lt;0.4,"20-39%",IF(G635&lt;0.6,"40-59%",IF(G635&lt;0.8,"60-79%","80%+"))))</f>
        <v>20-39%</v>
      </c>
      <c r="L635" s="10" t="str">
        <f aca="false">IF(H635="","No rating",IF(H635&lt;3.5,"Below 3.5",IF(H635&lt;4,"3.5-3.9",IF(H635&lt;4.5,"4.0-4.4","4.5+"))))</f>
        <v>4.0-4.4</v>
      </c>
    </row>
    <row r="636" customFormat="false" ht="15" hidden="false" customHeight="false" outlineLevel="0" collapsed="false">
      <c r="A636" s="10" t="s">
        <v>1294</v>
      </c>
      <c r="B636" s="10" t="s">
        <v>1295</v>
      </c>
      <c r="C636" s="10" t="s">
        <v>21</v>
      </c>
      <c r="D636" s="10" t="s">
        <v>1135</v>
      </c>
      <c r="E636" s="11" t="n">
        <v>3000</v>
      </c>
      <c r="F636" s="11" t="n">
        <v>1299</v>
      </c>
      <c r="G636" s="12" t="n">
        <v>0.57</v>
      </c>
      <c r="H636" s="13" t="n">
        <v>4.3</v>
      </c>
      <c r="I636" s="11" t="n">
        <v>23022</v>
      </c>
      <c r="J636" s="11" t="n">
        <f aca="false">E636-F636</f>
        <v>1701</v>
      </c>
      <c r="K636" s="10" t="str">
        <f aca="false">IF(G636&lt;0.2,"0-19%",IF(G636&lt;0.4,"20-39%",IF(G636&lt;0.6,"40-59%",IF(G636&lt;0.8,"60-79%","80%+"))))</f>
        <v>40-59%</v>
      </c>
      <c r="L636" s="10" t="str">
        <f aca="false">IF(H636="","No rating",IF(H636&lt;3.5,"Below 3.5",IF(H636&lt;4,"3.5-3.9",IF(H636&lt;4.5,"4.0-4.4","4.5+"))))</f>
        <v>4.0-4.4</v>
      </c>
    </row>
    <row r="637" customFormat="false" ht="15" hidden="false" customHeight="false" outlineLevel="0" collapsed="false">
      <c r="A637" s="10" t="s">
        <v>1296</v>
      </c>
      <c r="B637" s="10" t="s">
        <v>1297</v>
      </c>
      <c r="C637" s="10" t="s">
        <v>21</v>
      </c>
      <c r="D637" s="10" t="s">
        <v>22</v>
      </c>
      <c r="E637" s="11" t="n">
        <v>4999</v>
      </c>
      <c r="F637" s="11" t="n">
        <v>294</v>
      </c>
      <c r="G637" s="12" t="n">
        <v>0.94</v>
      </c>
      <c r="H637" s="13" t="n">
        <v>4.3</v>
      </c>
      <c r="I637" s="11" t="n">
        <v>4426</v>
      </c>
      <c r="J637" s="11" t="n">
        <f aca="false">E637-F637</f>
        <v>4705</v>
      </c>
      <c r="K637" s="10" t="str">
        <f aca="false">IF(G637&lt;0.2,"0-19%",IF(G637&lt;0.4,"20-39%",IF(G637&lt;0.6,"40-59%",IF(G637&lt;0.8,"60-79%","80%+"))))</f>
        <v>80%+</v>
      </c>
      <c r="L637" s="10" t="str">
        <f aca="false">IF(H637="","No rating",IF(H637&lt;3.5,"Below 3.5",IF(H637&lt;4,"3.5-3.9",IF(H637&lt;4.5,"4.0-4.4","4.5+"))))</f>
        <v>4.0-4.4</v>
      </c>
    </row>
    <row r="638" customFormat="false" ht="15" hidden="false" customHeight="false" outlineLevel="0" collapsed="false">
      <c r="A638" s="10" t="s">
        <v>1298</v>
      </c>
      <c r="B638" s="10" t="s">
        <v>1299</v>
      </c>
      <c r="C638" s="10" t="s">
        <v>21</v>
      </c>
      <c r="D638" s="10" t="s">
        <v>1217</v>
      </c>
      <c r="E638" s="11" t="n">
        <v>861</v>
      </c>
      <c r="F638" s="11" t="n">
        <v>828</v>
      </c>
      <c r="G638" s="12" t="n">
        <v>0.04</v>
      </c>
      <c r="H638" s="13" t="n">
        <v>4.2</v>
      </c>
      <c r="I638" s="11" t="n">
        <v>4567</v>
      </c>
      <c r="J638" s="11" t="n">
        <f aca="false">E638-F638</f>
        <v>33</v>
      </c>
      <c r="K638" s="10" t="str">
        <f aca="false">IF(G638&lt;0.2,"0-19%",IF(G638&lt;0.4,"20-39%",IF(G638&lt;0.6,"40-59%",IF(G638&lt;0.8,"60-79%","80%+"))))</f>
        <v>0-19%</v>
      </c>
      <c r="L638" s="10" t="str">
        <f aca="false">IF(H638="","No rating",IF(H638&lt;3.5,"Below 3.5",IF(H638&lt;4,"3.5-3.9",IF(H638&lt;4.5,"4.0-4.4","4.5+"))))</f>
        <v>4.0-4.4</v>
      </c>
    </row>
    <row r="639" customFormat="false" ht="15" hidden="false" customHeight="false" outlineLevel="0" collapsed="false">
      <c r="A639" s="10" t="s">
        <v>1300</v>
      </c>
      <c r="B639" s="10" t="s">
        <v>1301</v>
      </c>
      <c r="C639" s="10" t="s">
        <v>48</v>
      </c>
      <c r="D639" s="10" t="s">
        <v>722</v>
      </c>
      <c r="E639" s="11" t="n">
        <v>795</v>
      </c>
      <c r="F639" s="11" t="n">
        <v>745</v>
      </c>
      <c r="G639" s="12" t="n">
        <v>0.06</v>
      </c>
      <c r="H639" s="13" t="n">
        <v>4</v>
      </c>
      <c r="I639" s="11" t="n">
        <v>13797</v>
      </c>
      <c r="J639" s="11" t="n">
        <f aca="false">E639-F639</f>
        <v>50</v>
      </c>
      <c r="K639" s="10" t="str">
        <f aca="false">IF(G639&lt;0.2,"0-19%",IF(G639&lt;0.4,"20-39%",IF(G639&lt;0.6,"40-59%",IF(G639&lt;0.8,"60-79%","80%+"))))</f>
        <v>0-19%</v>
      </c>
      <c r="L639" s="10" t="str">
        <f aca="false">IF(H639="","No rating",IF(H639&lt;3.5,"Below 3.5",IF(H639&lt;4,"3.5-3.9",IF(H639&lt;4.5,"4.0-4.4","4.5+"))))</f>
        <v>4.0-4.4</v>
      </c>
    </row>
    <row r="640" customFormat="false" ht="15" hidden="false" customHeight="false" outlineLevel="0" collapsed="false">
      <c r="A640" s="10" t="s">
        <v>1302</v>
      </c>
      <c r="B640" s="10" t="s">
        <v>1303</v>
      </c>
      <c r="C640" s="10" t="s">
        <v>48</v>
      </c>
      <c r="D640" s="10" t="s">
        <v>1193</v>
      </c>
      <c r="E640" s="11" t="n">
        <v>2495</v>
      </c>
      <c r="F640" s="11" t="n">
        <v>1549</v>
      </c>
      <c r="G640" s="12" t="n">
        <v>0.38</v>
      </c>
      <c r="H640" s="13" t="n">
        <v>4.4</v>
      </c>
      <c r="I640" s="11" t="n">
        <v>15137</v>
      </c>
      <c r="J640" s="11" t="n">
        <f aca="false">E640-F640</f>
        <v>946</v>
      </c>
      <c r="K640" s="10" t="str">
        <f aca="false">IF(G640&lt;0.2,"0-19%",IF(G640&lt;0.4,"20-39%",IF(G640&lt;0.6,"40-59%",IF(G640&lt;0.8,"60-79%","80%+"))))</f>
        <v>20-39%</v>
      </c>
      <c r="L640" s="10" t="str">
        <f aca="false">IF(H640="","No rating",IF(H640&lt;3.5,"Below 3.5",IF(H640&lt;4,"3.5-3.9",IF(H640&lt;4.5,"4.0-4.4","4.5+"))))</f>
        <v>4.0-4.4</v>
      </c>
    </row>
    <row r="641" customFormat="false" ht="15" hidden="false" customHeight="false" outlineLevel="0" collapsed="false">
      <c r="A641" s="10" t="s">
        <v>1304</v>
      </c>
      <c r="B641" s="10" t="s">
        <v>1305</v>
      </c>
      <c r="C641" s="10" t="s">
        <v>21</v>
      </c>
      <c r="D641" s="10" t="s">
        <v>39</v>
      </c>
      <c r="E641" s="11" t="n">
        <v>2499</v>
      </c>
      <c r="F641" s="11" t="n">
        <v>1469</v>
      </c>
      <c r="G641" s="12" t="n">
        <v>0.41</v>
      </c>
      <c r="H641" s="13" t="n">
        <v>4.2</v>
      </c>
      <c r="I641" s="11" t="n">
        <v>156638</v>
      </c>
      <c r="J641" s="11" t="n">
        <f aca="false">E641-F641</f>
        <v>1030</v>
      </c>
      <c r="K641" s="10" t="str">
        <f aca="false">IF(G641&lt;0.2,"0-19%",IF(G641&lt;0.4,"20-39%",IF(G641&lt;0.6,"40-59%",IF(G641&lt;0.8,"60-79%","80%+"))))</f>
        <v>40-59%</v>
      </c>
      <c r="L641" s="10" t="str">
        <f aca="false">IF(H641="","No rating",IF(H641&lt;3.5,"Below 3.5",IF(H641&lt;4,"3.5-3.9",IF(H641&lt;4.5,"4.0-4.4","4.5+"))))</f>
        <v>4.0-4.4</v>
      </c>
    </row>
    <row r="642" customFormat="false" ht="15" hidden="false" customHeight="false" outlineLevel="0" collapsed="false">
      <c r="A642" s="10" t="s">
        <v>1306</v>
      </c>
      <c r="B642" s="10" t="s">
        <v>1307</v>
      </c>
      <c r="C642" s="10" t="s">
        <v>1177</v>
      </c>
      <c r="D642" s="10" t="s">
        <v>1178</v>
      </c>
      <c r="E642" s="11" t="n">
        <v>800</v>
      </c>
      <c r="F642" s="11" t="n">
        <v>198</v>
      </c>
      <c r="G642" s="12" t="n">
        <v>0.75</v>
      </c>
      <c r="H642" s="13" t="n">
        <v>4.1</v>
      </c>
      <c r="I642" s="11" t="n">
        <v>9344</v>
      </c>
      <c r="J642" s="11" t="n">
        <f aca="false">E642-F642</f>
        <v>602</v>
      </c>
      <c r="K642" s="10" t="str">
        <f aca="false">IF(G642&lt;0.2,"0-19%",IF(G642&lt;0.4,"20-39%",IF(G642&lt;0.6,"40-59%",IF(G642&lt;0.8,"60-79%","80%+"))))</f>
        <v>60-79%</v>
      </c>
      <c r="L642" s="10" t="str">
        <f aca="false">IF(H642="","No rating",IF(H642&lt;3.5,"Below 3.5",IF(H642&lt;4,"3.5-3.9",IF(H642&lt;4.5,"4.0-4.4","4.5+"))))</f>
        <v>4.0-4.4</v>
      </c>
    </row>
    <row r="643" customFormat="false" ht="15" hidden="false" customHeight="false" outlineLevel="0" collapsed="false">
      <c r="A643" s="10" t="s">
        <v>1308</v>
      </c>
      <c r="B643" s="10" t="s">
        <v>1309</v>
      </c>
      <c r="C643" s="10" t="s">
        <v>48</v>
      </c>
      <c r="D643" s="10" t="s">
        <v>1193</v>
      </c>
      <c r="E643" s="11" t="n">
        <v>549</v>
      </c>
      <c r="F643" s="11" t="n">
        <v>549</v>
      </c>
      <c r="G643" s="12" t="n">
        <v>0</v>
      </c>
      <c r="H643" s="13" t="n">
        <v>4.5</v>
      </c>
      <c r="I643" s="11" t="n">
        <v>4875</v>
      </c>
      <c r="J643" s="11" t="n">
        <f aca="false">E643-F643</f>
        <v>0</v>
      </c>
      <c r="K643" s="10" t="str">
        <f aca="false">IF(G643&lt;0.2,"0-19%",IF(G643&lt;0.4,"20-39%",IF(G643&lt;0.6,"40-59%",IF(G643&lt;0.8,"60-79%","80%+"))))</f>
        <v>0-19%</v>
      </c>
      <c r="L643" s="10" t="str">
        <f aca="false">IF(H643="","No rating",IF(H643&lt;3.5,"Below 3.5",IF(H643&lt;4,"3.5-3.9",IF(H643&lt;4.5,"4.0-4.4","4.5+"))))</f>
        <v>4.5+</v>
      </c>
    </row>
    <row r="644" customFormat="false" ht="15" hidden="false" customHeight="false" outlineLevel="0" collapsed="false">
      <c r="A644" s="10" t="s">
        <v>1310</v>
      </c>
      <c r="B644" s="10" t="s">
        <v>1311</v>
      </c>
      <c r="C644" s="10" t="s">
        <v>48</v>
      </c>
      <c r="D644" s="10" t="s">
        <v>693</v>
      </c>
      <c r="E644" s="11" t="n">
        <v>29999</v>
      </c>
      <c r="F644" s="11" t="n">
        <v>12000</v>
      </c>
      <c r="G644" s="12" t="n">
        <v>0.6</v>
      </c>
      <c r="H644" s="13" t="n">
        <v>4.3</v>
      </c>
      <c r="I644" s="11" t="n">
        <v>4744</v>
      </c>
      <c r="J644" s="11" t="n">
        <f aca="false">E644-F644</f>
        <v>17999</v>
      </c>
      <c r="K644" s="10" t="str">
        <f aca="false">IF(G644&lt;0.2,"0-19%",IF(G644&lt;0.4,"20-39%",IF(G644&lt;0.6,"40-59%",IF(G644&lt;0.8,"60-79%","80%+"))))</f>
        <v>60-79%</v>
      </c>
      <c r="L644" s="10" t="str">
        <f aca="false">IF(H644="","No rating",IF(H644&lt;3.5,"Below 3.5",IF(H644&lt;4,"3.5-3.9",IF(H644&lt;4.5,"4.0-4.4","4.5+"))))</f>
        <v>4.0-4.4</v>
      </c>
    </row>
    <row r="645" customFormat="false" ht="15" hidden="false" customHeight="false" outlineLevel="0" collapsed="false">
      <c r="A645" s="10" t="s">
        <v>1312</v>
      </c>
      <c r="B645" s="10" t="s">
        <v>1313</v>
      </c>
      <c r="C645" s="10" t="s">
        <v>48</v>
      </c>
      <c r="D645" s="10" t="s">
        <v>722</v>
      </c>
      <c r="E645" s="11" t="n">
        <v>3499</v>
      </c>
      <c r="F645" s="11" t="n">
        <v>1299</v>
      </c>
      <c r="G645" s="12" t="n">
        <v>0.63</v>
      </c>
      <c r="H645" s="13" t="n">
        <v>3.9</v>
      </c>
      <c r="I645" s="11" t="n">
        <v>12452</v>
      </c>
      <c r="J645" s="11" t="n">
        <f aca="false">E645-F645</f>
        <v>2200</v>
      </c>
      <c r="K645" s="10" t="str">
        <f aca="false">IF(G645&lt;0.2,"0-19%",IF(G645&lt;0.4,"20-39%",IF(G645&lt;0.6,"40-59%",IF(G645&lt;0.8,"60-79%","80%+"))))</f>
        <v>60-79%</v>
      </c>
      <c r="L645" s="10" t="str">
        <f aca="false">IF(H645="","No rating",IF(H645&lt;3.5,"Below 3.5",IF(H645&lt;4,"3.5-3.9",IF(H645&lt;4.5,"4.0-4.4","4.5+"))))</f>
        <v>3.5-3.9</v>
      </c>
    </row>
    <row r="646" customFormat="false" ht="15" hidden="false" customHeight="false" outlineLevel="0" collapsed="false">
      <c r="A646" s="10" t="s">
        <v>1314</v>
      </c>
      <c r="B646" s="10" t="s">
        <v>1315</v>
      </c>
      <c r="C646" s="10" t="s">
        <v>48</v>
      </c>
      <c r="D646" s="10" t="s">
        <v>1174</v>
      </c>
      <c r="E646" s="11" t="n">
        <v>315</v>
      </c>
      <c r="F646" s="11" t="n">
        <v>269</v>
      </c>
      <c r="G646" s="12" t="n">
        <v>0.15</v>
      </c>
      <c r="H646" s="13" t="n">
        <v>4.5</v>
      </c>
      <c r="I646" s="11" t="n">
        <v>17810</v>
      </c>
      <c r="J646" s="11" t="n">
        <f aca="false">E646-F646</f>
        <v>46</v>
      </c>
      <c r="K646" s="10" t="str">
        <f aca="false">IF(G646&lt;0.2,"0-19%",IF(G646&lt;0.4,"20-39%",IF(G646&lt;0.6,"40-59%",IF(G646&lt;0.8,"60-79%","80%+"))))</f>
        <v>0-19%</v>
      </c>
      <c r="L646" s="10" t="str">
        <f aca="false">IF(H646="","No rating",IF(H646&lt;3.5,"Below 3.5",IF(H646&lt;4,"3.5-3.9",IF(H646&lt;4.5,"4.0-4.4","4.5+"))))</f>
        <v>4.5+</v>
      </c>
    </row>
    <row r="647" customFormat="false" ht="15" hidden="false" customHeight="false" outlineLevel="0" collapsed="false">
      <c r="A647" s="10" t="s">
        <v>1316</v>
      </c>
      <c r="B647" s="10" t="s">
        <v>1317</v>
      </c>
      <c r="C647" s="10" t="s">
        <v>48</v>
      </c>
      <c r="D647" s="10" t="s">
        <v>722</v>
      </c>
      <c r="E647" s="11" t="n">
        <v>1499</v>
      </c>
      <c r="F647" s="11" t="n">
        <v>799</v>
      </c>
      <c r="G647" s="12" t="n">
        <v>0.47</v>
      </c>
      <c r="H647" s="13" t="n">
        <v>4.1</v>
      </c>
      <c r="I647" s="11" t="n">
        <v>53648</v>
      </c>
      <c r="J647" s="11" t="n">
        <f aca="false">E647-F647</f>
        <v>700</v>
      </c>
      <c r="K647" s="10" t="str">
        <f aca="false">IF(G647&lt;0.2,"0-19%",IF(G647&lt;0.4,"20-39%",IF(G647&lt;0.6,"40-59%",IF(G647&lt;0.8,"60-79%","80%+"))))</f>
        <v>40-59%</v>
      </c>
      <c r="L647" s="10" t="str">
        <f aca="false">IF(H647="","No rating",IF(H647&lt;3.5,"Below 3.5",IF(H647&lt;4,"3.5-3.9",IF(H647&lt;4.5,"4.0-4.4","4.5+"))))</f>
        <v>4.0-4.4</v>
      </c>
    </row>
    <row r="648" customFormat="false" ht="15" hidden="false" customHeight="false" outlineLevel="0" collapsed="false">
      <c r="A648" s="10" t="s">
        <v>1318</v>
      </c>
      <c r="B648" s="10" t="s">
        <v>1319</v>
      </c>
      <c r="C648" s="10" t="s">
        <v>21</v>
      </c>
      <c r="D648" s="10" t="s">
        <v>1320</v>
      </c>
      <c r="E648" s="11" t="n">
        <v>13750</v>
      </c>
      <c r="F648" s="11" t="n">
        <v>6299</v>
      </c>
      <c r="G648" s="12" t="n">
        <v>0.54</v>
      </c>
      <c r="H648" s="13" t="n">
        <v>4.2</v>
      </c>
      <c r="I648" s="11" t="n">
        <v>2014</v>
      </c>
      <c r="J648" s="11" t="n">
        <f aca="false">E648-F648</f>
        <v>7451</v>
      </c>
      <c r="K648" s="10" t="str">
        <f aca="false">IF(G648&lt;0.2,"0-19%",IF(G648&lt;0.4,"20-39%",IF(G648&lt;0.6,"40-59%",IF(G648&lt;0.8,"60-79%","80%+"))))</f>
        <v>40-59%</v>
      </c>
      <c r="L648" s="10" t="str">
        <f aca="false">IF(H648="","No rating",IF(H648&lt;3.5,"Below 3.5",IF(H648&lt;4,"3.5-3.9",IF(H648&lt;4.5,"4.0-4.4","4.5+"))))</f>
        <v>4.0-4.4</v>
      </c>
    </row>
    <row r="649" customFormat="false" ht="15" hidden="false" customHeight="false" outlineLevel="0" collapsed="false">
      <c r="A649" s="10" t="s">
        <v>1321</v>
      </c>
      <c r="B649" s="10" t="s">
        <v>1322</v>
      </c>
      <c r="C649" s="10" t="s">
        <v>21</v>
      </c>
      <c r="D649" s="10" t="s">
        <v>22</v>
      </c>
      <c r="E649" s="11" t="n">
        <v>59</v>
      </c>
      <c r="F649" s="11" t="n">
        <v>59</v>
      </c>
      <c r="G649" s="12" t="n">
        <v>0</v>
      </c>
      <c r="H649" s="13" t="n">
        <v>3.8</v>
      </c>
      <c r="I649" s="11" t="n">
        <v>5958</v>
      </c>
      <c r="J649" s="11" t="n">
        <f aca="false">E649-F649</f>
        <v>0</v>
      </c>
      <c r="K649" s="10" t="str">
        <f aca="false">IF(G649&lt;0.2,"0-19%",IF(G649&lt;0.4,"20-39%",IF(G649&lt;0.6,"40-59%",IF(G649&lt;0.8,"60-79%","80%+"))))</f>
        <v>0-19%</v>
      </c>
      <c r="L649" s="10" t="str">
        <f aca="false">IF(H649="","No rating",IF(H649&lt;3.5,"Below 3.5",IF(H649&lt;4,"3.5-3.9",IF(H649&lt;4.5,"4.0-4.4","4.5+"))))</f>
        <v>3.5-3.9</v>
      </c>
    </row>
    <row r="650" customFormat="false" ht="15" hidden="false" customHeight="false" outlineLevel="0" collapsed="false">
      <c r="A650" s="10" t="s">
        <v>1323</v>
      </c>
      <c r="B650" s="10" t="s">
        <v>1324</v>
      </c>
      <c r="C650" s="10" t="s">
        <v>48</v>
      </c>
      <c r="D650" s="10" t="s">
        <v>700</v>
      </c>
      <c r="E650" s="11" t="n">
        <v>999</v>
      </c>
      <c r="F650" s="11" t="n">
        <v>571</v>
      </c>
      <c r="G650" s="12" t="n">
        <v>0.43</v>
      </c>
      <c r="H650" s="13" t="n">
        <v>4.3</v>
      </c>
      <c r="I650" s="11" t="n">
        <v>38221</v>
      </c>
      <c r="J650" s="11" t="n">
        <f aca="false">E650-F650</f>
        <v>428</v>
      </c>
      <c r="K650" s="10" t="str">
        <f aca="false">IF(G650&lt;0.2,"0-19%",IF(G650&lt;0.4,"20-39%",IF(G650&lt;0.6,"40-59%",IF(G650&lt;0.8,"60-79%","80%+"))))</f>
        <v>40-59%</v>
      </c>
      <c r="L650" s="10" t="str">
        <f aca="false">IF(H650="","No rating",IF(H650&lt;3.5,"Below 3.5",IF(H650&lt;4,"3.5-3.9",IF(H650&lt;4.5,"4.0-4.4","4.5+"))))</f>
        <v>4.0-4.4</v>
      </c>
    </row>
    <row r="651" customFormat="false" ht="15" hidden="false" customHeight="false" outlineLevel="0" collapsed="false">
      <c r="A651" s="10" t="s">
        <v>1325</v>
      </c>
      <c r="B651" s="10" t="s">
        <v>1326</v>
      </c>
      <c r="C651" s="10" t="s">
        <v>48</v>
      </c>
      <c r="D651" s="10" t="s">
        <v>290</v>
      </c>
      <c r="E651" s="11" t="n">
        <v>999</v>
      </c>
      <c r="F651" s="11" t="n">
        <v>549</v>
      </c>
      <c r="G651" s="12" t="n">
        <v>0.45</v>
      </c>
      <c r="H651" s="13" t="n">
        <v>3.9</v>
      </c>
      <c r="I651" s="11" t="n">
        <v>64705</v>
      </c>
      <c r="J651" s="11" t="n">
        <f aca="false">E651-F651</f>
        <v>450</v>
      </c>
      <c r="K651" s="10" t="str">
        <f aca="false">IF(G651&lt;0.2,"0-19%",IF(G651&lt;0.4,"20-39%",IF(G651&lt;0.6,"40-59%",IF(G651&lt;0.8,"60-79%","80%+"))))</f>
        <v>40-59%</v>
      </c>
      <c r="L651" s="10" t="str">
        <f aca="false">IF(H651="","No rating",IF(H651&lt;3.5,"Below 3.5",IF(H651&lt;4,"3.5-3.9",IF(H651&lt;4.5,"4.0-4.4","4.5+"))))</f>
        <v>3.5-3.9</v>
      </c>
    </row>
    <row r="652" customFormat="false" ht="15" hidden="false" customHeight="false" outlineLevel="0" collapsed="false">
      <c r="A652" s="10" t="s">
        <v>1327</v>
      </c>
      <c r="B652" s="10" t="s">
        <v>1328</v>
      </c>
      <c r="C652" s="10" t="s">
        <v>21</v>
      </c>
      <c r="D652" s="10" t="s">
        <v>22</v>
      </c>
      <c r="E652" s="11" t="n">
        <v>699</v>
      </c>
      <c r="F652" s="11" t="n">
        <v>448</v>
      </c>
      <c r="G652" s="12" t="n">
        <v>0.36</v>
      </c>
      <c r="H652" s="13" t="n">
        <v>3.9</v>
      </c>
      <c r="I652" s="11" t="n">
        <v>17348</v>
      </c>
      <c r="J652" s="11" t="n">
        <f aca="false">E652-F652</f>
        <v>251</v>
      </c>
      <c r="K652" s="10" t="str">
        <f aca="false">IF(G652&lt;0.2,"0-19%",IF(G652&lt;0.4,"20-39%",IF(G652&lt;0.6,"40-59%",IF(G652&lt;0.8,"60-79%","80%+"))))</f>
        <v>20-39%</v>
      </c>
      <c r="L652" s="10" t="str">
        <f aca="false">IF(H652="","No rating",IF(H652&lt;3.5,"Below 3.5",IF(H652&lt;4,"3.5-3.9",IF(H652&lt;4.5,"4.0-4.4","4.5+"))))</f>
        <v>3.5-3.9</v>
      </c>
    </row>
    <row r="653" customFormat="false" ht="15" hidden="false" customHeight="false" outlineLevel="0" collapsed="false">
      <c r="A653" s="10" t="s">
        <v>1329</v>
      </c>
      <c r="B653" s="10" t="s">
        <v>1330</v>
      </c>
      <c r="C653" s="10" t="s">
        <v>48</v>
      </c>
      <c r="D653" s="10" t="s">
        <v>722</v>
      </c>
      <c r="E653" s="11" t="n">
        <v>2999</v>
      </c>
      <c r="F653" s="11" t="n">
        <v>1499</v>
      </c>
      <c r="G653" s="12" t="n">
        <v>0.5</v>
      </c>
      <c r="H653" s="13" t="n">
        <v>3.7</v>
      </c>
      <c r="I653" s="11" t="n">
        <v>87798</v>
      </c>
      <c r="J653" s="11" t="n">
        <f aca="false">E653-F653</f>
        <v>1500</v>
      </c>
      <c r="K653" s="10" t="str">
        <f aca="false">IF(G653&lt;0.2,"0-19%",IF(G653&lt;0.4,"20-39%",IF(G653&lt;0.6,"40-59%",IF(G653&lt;0.8,"60-79%","80%+"))))</f>
        <v>40-59%</v>
      </c>
      <c r="L653" s="10" t="str">
        <f aca="false">IF(H653="","No rating",IF(H653&lt;3.5,"Below 3.5",IF(H653&lt;4,"3.5-3.9",IF(H653&lt;4.5,"4.0-4.4","4.5+"))))</f>
        <v>3.5-3.9</v>
      </c>
    </row>
    <row r="654" customFormat="false" ht="15" hidden="false" customHeight="false" outlineLevel="0" collapsed="false">
      <c r="A654" s="10" t="s">
        <v>1331</v>
      </c>
      <c r="B654" s="10" t="s">
        <v>1332</v>
      </c>
      <c r="C654" s="10" t="s">
        <v>48</v>
      </c>
      <c r="D654" s="10" t="s">
        <v>1193</v>
      </c>
      <c r="E654" s="11" t="n">
        <v>499</v>
      </c>
      <c r="F654" s="11" t="n">
        <v>299</v>
      </c>
      <c r="G654" s="12" t="n">
        <v>0.4</v>
      </c>
      <c r="H654" s="13" t="n">
        <v>4.2</v>
      </c>
      <c r="I654" s="11" t="n">
        <v>24432</v>
      </c>
      <c r="J654" s="11" t="n">
        <f aca="false">E654-F654</f>
        <v>200</v>
      </c>
      <c r="K654" s="10" t="str">
        <f aca="false">IF(G654&lt;0.2,"0-19%",IF(G654&lt;0.4,"20-39%",IF(G654&lt;0.6,"40-59%",IF(G654&lt;0.8,"60-79%","80%+"))))</f>
        <v>40-59%</v>
      </c>
      <c r="L654" s="10" t="str">
        <f aca="false">IF(H654="","No rating",IF(H654&lt;3.5,"Below 3.5",IF(H654&lt;4,"3.5-3.9",IF(H654&lt;4.5,"4.0-4.4","4.5+"))))</f>
        <v>4.0-4.4</v>
      </c>
    </row>
    <row r="655" customFormat="false" ht="15" hidden="false" customHeight="false" outlineLevel="0" collapsed="false">
      <c r="A655" s="10" t="s">
        <v>1333</v>
      </c>
      <c r="B655" s="10" t="s">
        <v>1334</v>
      </c>
      <c r="C655" s="10" t="s">
        <v>21</v>
      </c>
      <c r="D655" s="10" t="s">
        <v>1135</v>
      </c>
      <c r="E655" s="11" t="n">
        <v>1400</v>
      </c>
      <c r="F655" s="11" t="n">
        <v>579</v>
      </c>
      <c r="G655" s="12" t="n">
        <v>0.59</v>
      </c>
      <c r="H655" s="13" t="n">
        <v>4.3</v>
      </c>
      <c r="I655" s="11" t="n">
        <v>189104</v>
      </c>
      <c r="J655" s="11" t="n">
        <f aca="false">E655-F655</f>
        <v>821</v>
      </c>
      <c r="K655" s="10" t="str">
        <f aca="false">IF(G655&lt;0.2,"0-19%",IF(G655&lt;0.4,"20-39%",IF(G655&lt;0.6,"40-59%",IF(G655&lt;0.8,"60-79%","80%+"))))</f>
        <v>40-59%</v>
      </c>
      <c r="L655" s="10" t="str">
        <f aca="false">IF(H655="","No rating",IF(H655&lt;3.5,"Below 3.5",IF(H655&lt;4,"3.5-3.9",IF(H655&lt;4.5,"4.0-4.4","4.5+"))))</f>
        <v>4.0-4.4</v>
      </c>
    </row>
    <row r="656" customFormat="false" ht="15" hidden="false" customHeight="false" outlineLevel="0" collapsed="false">
      <c r="A656" s="10" t="s">
        <v>1335</v>
      </c>
      <c r="B656" s="10" t="s">
        <v>1336</v>
      </c>
      <c r="C656" s="10" t="s">
        <v>48</v>
      </c>
      <c r="D656" s="10" t="s">
        <v>1193</v>
      </c>
      <c r="E656" s="11" t="n">
        <v>3299</v>
      </c>
      <c r="F656" s="11" t="n">
        <v>2499</v>
      </c>
      <c r="G656" s="12" t="n">
        <v>0.24</v>
      </c>
      <c r="H656" s="13" t="n">
        <v>4.2</v>
      </c>
      <c r="I656" s="11" t="n">
        <v>93112</v>
      </c>
      <c r="J656" s="11" t="n">
        <f aca="false">E656-F656</f>
        <v>800</v>
      </c>
      <c r="K656" s="10" t="str">
        <f aca="false">IF(G656&lt;0.2,"0-19%",IF(G656&lt;0.4,"20-39%",IF(G656&lt;0.6,"40-59%",IF(G656&lt;0.8,"60-79%","80%+"))))</f>
        <v>20-39%</v>
      </c>
      <c r="L656" s="10" t="str">
        <f aca="false">IF(H656="","No rating",IF(H656&lt;3.5,"Below 3.5",IF(H656&lt;4,"3.5-3.9",IF(H656&lt;4.5,"4.0-4.4","4.5+"))))</f>
        <v>4.0-4.4</v>
      </c>
    </row>
    <row r="657" customFormat="false" ht="15" hidden="false" customHeight="false" outlineLevel="0" collapsed="false">
      <c r="A657" s="10" t="s">
        <v>1337</v>
      </c>
      <c r="B657" s="10" t="s">
        <v>1338</v>
      </c>
      <c r="C657" s="10" t="s">
        <v>48</v>
      </c>
      <c r="D657" s="10" t="s">
        <v>722</v>
      </c>
      <c r="E657" s="11" t="n">
        <v>5999</v>
      </c>
      <c r="F657" s="11" t="n">
        <v>1199</v>
      </c>
      <c r="G657" s="12" t="n">
        <v>0.8</v>
      </c>
      <c r="H657" s="13" t="n">
        <v>3.9</v>
      </c>
      <c r="I657" s="11" t="n">
        <v>47521</v>
      </c>
      <c r="J657" s="11" t="n">
        <f aca="false">E657-F657</f>
        <v>4800</v>
      </c>
      <c r="K657" s="10" t="str">
        <f aca="false">IF(G657&lt;0.2,"0-19%",IF(G657&lt;0.4,"20-39%",IF(G657&lt;0.6,"40-59%",IF(G657&lt;0.8,"60-79%","80%+"))))</f>
        <v>80%+</v>
      </c>
      <c r="L657" s="10" t="str">
        <f aca="false">IF(H657="","No rating",IF(H657&lt;3.5,"Below 3.5",IF(H657&lt;4,"3.5-3.9",IF(H657&lt;4.5,"4.0-4.4","4.5+"))))</f>
        <v>3.5-3.9</v>
      </c>
    </row>
    <row r="658" customFormat="false" ht="15" hidden="false" customHeight="false" outlineLevel="0" collapsed="false">
      <c r="A658" s="10" t="s">
        <v>1339</v>
      </c>
      <c r="B658" s="10" t="s">
        <v>1340</v>
      </c>
      <c r="C658" s="10" t="s">
        <v>48</v>
      </c>
      <c r="D658" s="10" t="s">
        <v>1174</v>
      </c>
      <c r="E658" s="11" t="n">
        <v>499</v>
      </c>
      <c r="F658" s="11" t="n">
        <v>399</v>
      </c>
      <c r="G658" s="12" t="n">
        <v>0.2</v>
      </c>
      <c r="H658" s="13" t="n">
        <v>4.3</v>
      </c>
      <c r="I658" s="11" t="n">
        <v>27201</v>
      </c>
      <c r="J658" s="11" t="n">
        <f aca="false">E658-F658</f>
        <v>100</v>
      </c>
      <c r="K658" s="10" t="str">
        <f aca="false">IF(G658&lt;0.2,"0-19%",IF(G658&lt;0.4,"20-39%",IF(G658&lt;0.6,"40-59%",IF(G658&lt;0.8,"60-79%","80%+"))))</f>
        <v>20-39%</v>
      </c>
      <c r="L658" s="10" t="str">
        <f aca="false">IF(H658="","No rating",IF(H658&lt;3.5,"Below 3.5",IF(H658&lt;4,"3.5-3.9",IF(H658&lt;4.5,"4.0-4.4","4.5+"))))</f>
        <v>4.0-4.4</v>
      </c>
    </row>
    <row r="659" customFormat="false" ht="15" hidden="false" customHeight="false" outlineLevel="0" collapsed="false">
      <c r="A659" s="10" t="s">
        <v>1341</v>
      </c>
      <c r="B659" s="10" t="s">
        <v>1342</v>
      </c>
      <c r="C659" s="10" t="s">
        <v>21</v>
      </c>
      <c r="D659" s="10" t="s">
        <v>22</v>
      </c>
      <c r="E659" s="11" t="n">
        <v>375</v>
      </c>
      <c r="F659" s="11" t="n">
        <v>279</v>
      </c>
      <c r="G659" s="12" t="n">
        <v>0.26</v>
      </c>
      <c r="H659" s="13" t="n">
        <v>4.3</v>
      </c>
      <c r="I659" s="11" t="n">
        <v>31534</v>
      </c>
      <c r="J659" s="11" t="n">
        <f aca="false">E659-F659</f>
        <v>96</v>
      </c>
      <c r="K659" s="10" t="str">
        <f aca="false">IF(G659&lt;0.2,"0-19%",IF(G659&lt;0.4,"20-39%",IF(G659&lt;0.6,"40-59%",IF(G659&lt;0.8,"60-79%","80%+"))))</f>
        <v>20-39%</v>
      </c>
      <c r="L659" s="10" t="str">
        <f aca="false">IF(H659="","No rating",IF(H659&lt;3.5,"Below 3.5",IF(H659&lt;4,"3.5-3.9",IF(H659&lt;4.5,"4.0-4.4","4.5+"))))</f>
        <v>4.0-4.4</v>
      </c>
    </row>
    <row r="660" customFormat="false" ht="15" hidden="false" customHeight="false" outlineLevel="0" collapsed="false">
      <c r="A660" s="10" t="s">
        <v>1343</v>
      </c>
      <c r="B660" s="10" t="s">
        <v>1344</v>
      </c>
      <c r="C660" s="10" t="s">
        <v>48</v>
      </c>
      <c r="D660" s="10" t="s">
        <v>693</v>
      </c>
      <c r="E660" s="11" t="n">
        <v>4999</v>
      </c>
      <c r="F660" s="11" t="n">
        <v>2499</v>
      </c>
      <c r="G660" s="12" t="n">
        <v>0.5</v>
      </c>
      <c r="H660" s="13" t="n">
        <v>3.9</v>
      </c>
      <c r="I660" s="11" t="n">
        <v>7571</v>
      </c>
      <c r="J660" s="11" t="n">
        <f aca="false">E660-F660</f>
        <v>2500</v>
      </c>
      <c r="K660" s="10" t="str">
        <f aca="false">IF(G660&lt;0.2,"0-19%",IF(G660&lt;0.4,"20-39%",IF(G660&lt;0.6,"40-59%",IF(G660&lt;0.8,"60-79%","80%+"))))</f>
        <v>40-59%</v>
      </c>
      <c r="L660" s="10" t="str">
        <f aca="false">IF(H660="","No rating",IF(H660&lt;3.5,"Below 3.5",IF(H660&lt;4,"3.5-3.9",IF(H660&lt;4.5,"4.0-4.4","4.5+"))))</f>
        <v>3.5-3.9</v>
      </c>
    </row>
    <row r="661" customFormat="false" ht="15" hidden="false" customHeight="false" outlineLevel="0" collapsed="false">
      <c r="A661" s="10" t="s">
        <v>1345</v>
      </c>
      <c r="B661" s="10" t="s">
        <v>1346</v>
      </c>
      <c r="C661" s="10" t="s">
        <v>1177</v>
      </c>
      <c r="D661" s="10" t="s">
        <v>1178</v>
      </c>
      <c r="E661" s="11" t="n">
        <v>160</v>
      </c>
      <c r="F661" s="11" t="n">
        <v>137</v>
      </c>
      <c r="G661" s="12" t="n">
        <v>0.14</v>
      </c>
      <c r="H661" s="13" t="n">
        <v>4.4</v>
      </c>
      <c r="I661" s="11" t="n">
        <v>6537</v>
      </c>
      <c r="J661" s="11" t="n">
        <f aca="false">E661-F661</f>
        <v>23</v>
      </c>
      <c r="K661" s="10" t="str">
        <f aca="false">IF(G661&lt;0.2,"0-19%",IF(G661&lt;0.4,"20-39%",IF(G661&lt;0.6,"40-59%",IF(G661&lt;0.8,"60-79%","80%+"))))</f>
        <v>0-19%</v>
      </c>
      <c r="L661" s="10" t="str">
        <f aca="false">IF(H661="","No rating",IF(H661&lt;3.5,"Below 3.5",IF(H661&lt;4,"3.5-3.9",IF(H661&lt;4.5,"4.0-4.4","4.5+"))))</f>
        <v>4.0-4.4</v>
      </c>
    </row>
    <row r="662" customFormat="false" ht="15" hidden="false" customHeight="false" outlineLevel="0" collapsed="false">
      <c r="A662" s="10" t="s">
        <v>1347</v>
      </c>
      <c r="B662" s="10" t="s">
        <v>1348</v>
      </c>
      <c r="C662" s="10" t="s">
        <v>21</v>
      </c>
      <c r="D662" s="10" t="s">
        <v>22</v>
      </c>
      <c r="E662" s="11" t="n">
        <v>499</v>
      </c>
      <c r="F662" s="11" t="n">
        <v>299</v>
      </c>
      <c r="G662" s="12" t="n">
        <v>0.4</v>
      </c>
      <c r="H662" s="13" t="n">
        <v>4.5</v>
      </c>
      <c r="I662" s="11" t="n">
        <v>21010</v>
      </c>
      <c r="J662" s="11" t="n">
        <f aca="false">E662-F662</f>
        <v>200</v>
      </c>
      <c r="K662" s="10" t="str">
        <f aca="false">IF(G662&lt;0.2,"0-19%",IF(G662&lt;0.4,"20-39%",IF(G662&lt;0.6,"40-59%",IF(G662&lt;0.8,"60-79%","80%+"))))</f>
        <v>40-59%</v>
      </c>
      <c r="L662" s="10" t="str">
        <f aca="false">IF(H662="","No rating",IF(H662&lt;3.5,"Below 3.5",IF(H662&lt;4,"3.5-3.9",IF(H662&lt;4.5,"4.0-4.4","4.5+"))))</f>
        <v>4.5+</v>
      </c>
    </row>
    <row r="663" customFormat="false" ht="15" hidden="false" customHeight="false" outlineLevel="0" collapsed="false">
      <c r="A663" s="10" t="s">
        <v>1349</v>
      </c>
      <c r="B663" s="10" t="s">
        <v>1350</v>
      </c>
      <c r="C663" s="10" t="s">
        <v>48</v>
      </c>
      <c r="D663" s="10" t="s">
        <v>722</v>
      </c>
      <c r="E663" s="11" t="n">
        <v>3999</v>
      </c>
      <c r="F663" s="11" t="n">
        <v>1799</v>
      </c>
      <c r="G663" s="12" t="n">
        <v>0.55</v>
      </c>
      <c r="H663" s="13" t="n">
        <v>3.9</v>
      </c>
      <c r="I663" s="11" t="n">
        <v>3517</v>
      </c>
      <c r="J663" s="11" t="n">
        <f aca="false">E663-F663</f>
        <v>2200</v>
      </c>
      <c r="K663" s="10" t="str">
        <f aca="false">IF(G663&lt;0.2,"0-19%",IF(G663&lt;0.4,"20-39%",IF(G663&lt;0.6,"40-59%",IF(G663&lt;0.8,"60-79%","80%+"))))</f>
        <v>40-59%</v>
      </c>
      <c r="L663" s="10" t="str">
        <f aca="false">IF(H663="","No rating",IF(H663&lt;3.5,"Below 3.5",IF(H663&lt;4,"3.5-3.9",IF(H663&lt;4.5,"4.0-4.4","4.5+"))))</f>
        <v>3.5-3.9</v>
      </c>
    </row>
    <row r="664" customFormat="false" ht="15" hidden="false" customHeight="false" outlineLevel="0" collapsed="false">
      <c r="A664" s="10" t="s">
        <v>1351</v>
      </c>
      <c r="B664" s="10" t="s">
        <v>1352</v>
      </c>
      <c r="C664" s="10" t="s">
        <v>48</v>
      </c>
      <c r="D664" s="10" t="s">
        <v>290</v>
      </c>
      <c r="E664" s="11" t="n">
        <v>2999</v>
      </c>
      <c r="F664" s="11" t="n">
        <v>1999</v>
      </c>
      <c r="G664" s="12" t="n">
        <v>0.33</v>
      </c>
      <c r="H664" s="13" t="n">
        <v>4.3</v>
      </c>
      <c r="I664" s="11" t="n">
        <v>63899</v>
      </c>
      <c r="J664" s="11" t="n">
        <f aca="false">E664-F664</f>
        <v>1000</v>
      </c>
      <c r="K664" s="10" t="str">
        <f aca="false">IF(G664&lt;0.2,"0-19%",IF(G664&lt;0.4,"20-39%",IF(G664&lt;0.6,"40-59%",IF(G664&lt;0.8,"60-79%","80%+"))))</f>
        <v>20-39%</v>
      </c>
      <c r="L664" s="10" t="str">
        <f aca="false">IF(H664="","No rating",IF(H664&lt;3.5,"Below 3.5",IF(H664&lt;4,"3.5-3.9",IF(H664&lt;4.5,"4.0-4.4","4.5+"))))</f>
        <v>4.0-4.4</v>
      </c>
    </row>
    <row r="665" customFormat="false" ht="15" hidden="false" customHeight="false" outlineLevel="0" collapsed="false">
      <c r="A665" s="10" t="s">
        <v>1353</v>
      </c>
      <c r="B665" s="10" t="s">
        <v>1354</v>
      </c>
      <c r="C665" s="10" t="s">
        <v>21</v>
      </c>
      <c r="D665" s="10" t="s">
        <v>22</v>
      </c>
      <c r="E665" s="11" t="n">
        <v>1499</v>
      </c>
      <c r="F665" s="11" t="n">
        <v>399</v>
      </c>
      <c r="G665" s="12" t="n">
        <v>0.73</v>
      </c>
      <c r="H665" s="13" t="n">
        <v>4.1</v>
      </c>
      <c r="I665" s="11" t="n">
        <v>5730</v>
      </c>
      <c r="J665" s="11" t="n">
        <f aca="false">E665-F665</f>
        <v>1100</v>
      </c>
      <c r="K665" s="10" t="str">
        <f aca="false">IF(G665&lt;0.2,"0-19%",IF(G665&lt;0.4,"20-39%",IF(G665&lt;0.6,"40-59%",IF(G665&lt;0.8,"60-79%","80%+"))))</f>
        <v>60-79%</v>
      </c>
      <c r="L665" s="10" t="str">
        <f aca="false">IF(H665="","No rating",IF(H665&lt;3.5,"Below 3.5",IF(H665&lt;4,"3.5-3.9",IF(H665&lt;4.5,"4.0-4.4","4.5+"))))</f>
        <v>4.0-4.4</v>
      </c>
    </row>
    <row r="666" customFormat="false" ht="15" hidden="false" customHeight="false" outlineLevel="0" collapsed="false">
      <c r="A666" s="10" t="s">
        <v>1355</v>
      </c>
      <c r="B666" s="10" t="s">
        <v>1356</v>
      </c>
      <c r="C666" s="10" t="s">
        <v>21</v>
      </c>
      <c r="D666" s="10" t="s">
        <v>22</v>
      </c>
      <c r="E666" s="11" t="n">
        <v>3999</v>
      </c>
      <c r="F666" s="11" t="n">
        <v>1699</v>
      </c>
      <c r="G666" s="12" t="n">
        <v>0.58</v>
      </c>
      <c r="H666" s="13" t="n">
        <v>4.2</v>
      </c>
      <c r="I666" s="11" t="n">
        <v>25488</v>
      </c>
      <c r="J666" s="11" t="n">
        <f aca="false">E666-F666</f>
        <v>2300</v>
      </c>
      <c r="K666" s="10" t="str">
        <f aca="false">IF(G666&lt;0.2,"0-19%",IF(G666&lt;0.4,"20-39%",IF(G666&lt;0.6,"40-59%",IF(G666&lt;0.8,"60-79%","80%+"))))</f>
        <v>40-59%</v>
      </c>
      <c r="L666" s="10" t="str">
        <f aca="false">IF(H666="","No rating",IF(H666&lt;3.5,"Below 3.5",IF(H666&lt;4,"3.5-3.9",IF(H666&lt;4.5,"4.0-4.4","4.5+"))))</f>
        <v>4.0-4.4</v>
      </c>
    </row>
    <row r="667" customFormat="false" ht="15" hidden="false" customHeight="false" outlineLevel="0" collapsed="false">
      <c r="A667" s="10" t="s">
        <v>1357</v>
      </c>
      <c r="B667" s="10" t="s">
        <v>1358</v>
      </c>
      <c r="C667" s="10" t="s">
        <v>21</v>
      </c>
      <c r="D667" s="10" t="s">
        <v>22</v>
      </c>
      <c r="E667" s="11" t="n">
        <v>995</v>
      </c>
      <c r="F667" s="11" t="n">
        <v>699</v>
      </c>
      <c r="G667" s="12" t="n">
        <v>0.3</v>
      </c>
      <c r="H667" s="13" t="n">
        <v>4.5</v>
      </c>
      <c r="I667" s="11" t="n">
        <v>54405</v>
      </c>
      <c r="J667" s="11" t="n">
        <f aca="false">E667-F667</f>
        <v>296</v>
      </c>
      <c r="K667" s="10" t="str">
        <f aca="false">IF(G667&lt;0.2,"0-19%",IF(G667&lt;0.4,"20-39%",IF(G667&lt;0.6,"40-59%",IF(G667&lt;0.8,"60-79%","80%+"))))</f>
        <v>20-39%</v>
      </c>
      <c r="L667" s="10" t="str">
        <f aca="false">IF(H667="","No rating",IF(H667&lt;3.5,"Below 3.5",IF(H667&lt;4,"3.5-3.9",IF(H667&lt;4.5,"4.0-4.4","4.5+"))))</f>
        <v>4.5+</v>
      </c>
    </row>
    <row r="668" customFormat="false" ht="15" hidden="false" customHeight="false" outlineLevel="0" collapsed="false">
      <c r="A668" s="10" t="s">
        <v>1359</v>
      </c>
      <c r="B668" s="10" t="s">
        <v>1360</v>
      </c>
      <c r="C668" s="10" t="s">
        <v>21</v>
      </c>
      <c r="D668" s="10" t="s">
        <v>39</v>
      </c>
      <c r="E668" s="11" t="n">
        <v>1699</v>
      </c>
      <c r="F668" s="11" t="n">
        <v>1149</v>
      </c>
      <c r="G668" s="12" t="n">
        <v>0.32</v>
      </c>
      <c r="H668" s="13" t="n">
        <v>4.2</v>
      </c>
      <c r="I668" s="11" t="n">
        <v>122478</v>
      </c>
      <c r="J668" s="11" t="n">
        <f aca="false">E668-F668</f>
        <v>550</v>
      </c>
      <c r="K668" s="10" t="str">
        <f aca="false">IF(G668&lt;0.2,"0-19%",IF(G668&lt;0.4,"20-39%",IF(G668&lt;0.6,"40-59%",IF(G668&lt;0.8,"60-79%","80%+"))))</f>
        <v>20-39%</v>
      </c>
      <c r="L668" s="10" t="str">
        <f aca="false">IF(H668="","No rating",IF(H668&lt;3.5,"Below 3.5",IF(H668&lt;4,"3.5-3.9",IF(H668&lt;4.5,"4.0-4.4","4.5+"))))</f>
        <v>4.0-4.4</v>
      </c>
    </row>
    <row r="669" customFormat="false" ht="15" hidden="false" customHeight="false" outlineLevel="0" collapsed="false">
      <c r="A669" s="10" t="s">
        <v>1361</v>
      </c>
      <c r="B669" s="10" t="s">
        <v>1362</v>
      </c>
      <c r="C669" s="10" t="s">
        <v>21</v>
      </c>
      <c r="D669" s="10" t="s">
        <v>22</v>
      </c>
      <c r="E669" s="11" t="n">
        <v>1995</v>
      </c>
      <c r="F669" s="11" t="n">
        <v>1495</v>
      </c>
      <c r="G669" s="12" t="n">
        <v>0.25</v>
      </c>
      <c r="H669" s="13" t="n">
        <v>4.3</v>
      </c>
      <c r="I669" s="11" t="n">
        <v>7241</v>
      </c>
      <c r="J669" s="11" t="n">
        <f aca="false">E669-F669</f>
        <v>500</v>
      </c>
      <c r="K669" s="10" t="str">
        <f aca="false">IF(G669&lt;0.2,"0-19%",IF(G669&lt;0.4,"20-39%",IF(G669&lt;0.6,"40-59%",IF(G669&lt;0.8,"60-79%","80%+"))))</f>
        <v>20-39%</v>
      </c>
      <c r="L669" s="10" t="str">
        <f aca="false">IF(H669="","No rating",IF(H669&lt;3.5,"Below 3.5",IF(H669&lt;4,"3.5-3.9",IF(H669&lt;4.5,"4.0-4.4","4.5+"))))</f>
        <v>4.0-4.4</v>
      </c>
    </row>
    <row r="670" customFormat="false" ht="15" hidden="false" customHeight="false" outlineLevel="0" collapsed="false">
      <c r="A670" s="10" t="s">
        <v>1363</v>
      </c>
      <c r="B670" s="10" t="s">
        <v>1364</v>
      </c>
      <c r="C670" s="10" t="s">
        <v>21</v>
      </c>
      <c r="D670" s="10" t="s">
        <v>22</v>
      </c>
      <c r="E670" s="11" t="n">
        <v>4999</v>
      </c>
      <c r="F670" s="11" t="n">
        <v>849</v>
      </c>
      <c r="G670" s="12" t="n">
        <v>0.83</v>
      </c>
      <c r="H670" s="13" t="n">
        <v>4</v>
      </c>
      <c r="I670" s="11" t="n">
        <v>20457</v>
      </c>
      <c r="J670" s="11" t="n">
        <f aca="false">E670-F670</f>
        <v>4150</v>
      </c>
      <c r="K670" s="10" t="str">
        <f aca="false">IF(G670&lt;0.2,"0-19%",IF(G670&lt;0.4,"20-39%",IF(G670&lt;0.6,"40-59%",IF(G670&lt;0.8,"60-79%","80%+"))))</f>
        <v>80%+</v>
      </c>
      <c r="L670" s="10" t="str">
        <f aca="false">IF(H670="","No rating",IF(H670&lt;3.5,"Below 3.5",IF(H670&lt;4,"3.5-3.9",IF(H670&lt;4.5,"4.0-4.4","4.5+"))))</f>
        <v>4.0-4.4</v>
      </c>
    </row>
    <row r="671" customFormat="false" ht="15" hidden="false" customHeight="false" outlineLevel="0" collapsed="false">
      <c r="A671" s="10" t="s">
        <v>1365</v>
      </c>
      <c r="B671" s="10" t="s">
        <v>1366</v>
      </c>
      <c r="C671" s="10" t="s">
        <v>1177</v>
      </c>
      <c r="D671" s="10" t="s">
        <v>1208</v>
      </c>
      <c r="E671" s="11" t="n">
        <v>440</v>
      </c>
      <c r="F671" s="11" t="n">
        <v>440</v>
      </c>
      <c r="G671" s="12" t="n">
        <v>0</v>
      </c>
      <c r="H671" s="13" t="n">
        <v>4.5</v>
      </c>
      <c r="I671" s="11" t="n">
        <v>8610</v>
      </c>
      <c r="J671" s="11" t="n">
        <f aca="false">E671-F671</f>
        <v>0</v>
      </c>
      <c r="K671" s="10" t="str">
        <f aca="false">IF(G671&lt;0.2,"0-19%",IF(G671&lt;0.4,"20-39%",IF(G671&lt;0.6,"40-59%",IF(G671&lt;0.8,"60-79%","80%+"))))</f>
        <v>0-19%</v>
      </c>
      <c r="L671" s="10" t="str">
        <f aca="false">IF(H671="","No rating",IF(H671&lt;3.5,"Below 3.5",IF(H671&lt;4,"3.5-3.9",IF(H671&lt;4.5,"4.0-4.4","4.5+"))))</f>
        <v>4.5+</v>
      </c>
    </row>
    <row r="672" customFormat="false" ht="15" hidden="false" customHeight="false" outlineLevel="0" collapsed="false">
      <c r="A672" s="10" t="s">
        <v>1367</v>
      </c>
      <c r="B672" s="10" t="s">
        <v>1368</v>
      </c>
      <c r="C672" s="10" t="s">
        <v>21</v>
      </c>
      <c r="D672" s="10" t="s">
        <v>22</v>
      </c>
      <c r="E672" s="11" t="n">
        <v>3999</v>
      </c>
      <c r="F672" s="11" t="n">
        <v>599</v>
      </c>
      <c r="G672" s="12" t="n">
        <v>0.85</v>
      </c>
      <c r="H672" s="13" t="n">
        <v>3.9</v>
      </c>
      <c r="I672" s="11" t="n">
        <v>1087</v>
      </c>
      <c r="J672" s="11" t="n">
        <f aca="false">E672-F672</f>
        <v>3400</v>
      </c>
      <c r="K672" s="10" t="str">
        <f aca="false">IF(G672&lt;0.2,"0-19%",IF(G672&lt;0.4,"20-39%",IF(G672&lt;0.6,"40-59%",IF(G672&lt;0.8,"60-79%","80%+"))))</f>
        <v>80%+</v>
      </c>
      <c r="L672" s="10" t="str">
        <f aca="false">IF(H672="","No rating",IF(H672&lt;3.5,"Below 3.5",IF(H672&lt;4,"3.5-3.9",IF(H672&lt;4.5,"4.0-4.4","4.5+"))))</f>
        <v>3.5-3.9</v>
      </c>
    </row>
    <row r="673" customFormat="false" ht="15" hidden="false" customHeight="false" outlineLevel="0" collapsed="false">
      <c r="A673" s="10" t="s">
        <v>1369</v>
      </c>
      <c r="B673" s="10" t="s">
        <v>1370</v>
      </c>
      <c r="C673" s="10" t="s">
        <v>21</v>
      </c>
      <c r="D673" s="10" t="s">
        <v>22</v>
      </c>
      <c r="E673" s="11" t="n">
        <v>399</v>
      </c>
      <c r="F673" s="11" t="n">
        <v>149</v>
      </c>
      <c r="G673" s="12" t="n">
        <v>0.63</v>
      </c>
      <c r="H673" s="13" t="n">
        <v>4</v>
      </c>
      <c r="I673" s="11" t="n">
        <v>1540</v>
      </c>
      <c r="J673" s="11" t="n">
        <f aca="false">E673-F673</f>
        <v>250</v>
      </c>
      <c r="K673" s="10" t="str">
        <f aca="false">IF(G673&lt;0.2,"0-19%",IF(G673&lt;0.4,"20-39%",IF(G673&lt;0.6,"40-59%",IF(G673&lt;0.8,"60-79%","80%+"))))</f>
        <v>60-79%</v>
      </c>
      <c r="L673" s="10" t="str">
        <f aca="false">IF(H673="","No rating",IF(H673&lt;3.5,"Below 3.5",IF(H673&lt;4,"3.5-3.9",IF(H673&lt;4.5,"4.0-4.4","4.5+"))))</f>
        <v>4.0-4.4</v>
      </c>
    </row>
    <row r="674" customFormat="false" ht="15" hidden="false" customHeight="false" outlineLevel="0" collapsed="false">
      <c r="A674" s="10" t="s">
        <v>1371</v>
      </c>
      <c r="B674" s="10" t="s">
        <v>1372</v>
      </c>
      <c r="C674" s="10" t="s">
        <v>21</v>
      </c>
      <c r="D674" s="10" t="s">
        <v>22</v>
      </c>
      <c r="E674" s="11" t="n">
        <v>999</v>
      </c>
      <c r="F674" s="11" t="n">
        <v>289</v>
      </c>
      <c r="G674" s="12" t="n">
        <v>0.71</v>
      </c>
      <c r="H674" s="13" t="n">
        <v>4.1</v>
      </c>
      <c r="I674" s="11" t="n">
        <v>401</v>
      </c>
      <c r="J674" s="11" t="n">
        <f aca="false">E674-F674</f>
        <v>710</v>
      </c>
      <c r="K674" s="10" t="str">
        <f aca="false">IF(G674&lt;0.2,"0-19%",IF(G674&lt;0.4,"20-39%",IF(G674&lt;0.6,"40-59%",IF(G674&lt;0.8,"60-79%","80%+"))))</f>
        <v>60-79%</v>
      </c>
      <c r="L674" s="10" t="str">
        <f aca="false">IF(H674="","No rating",IF(H674&lt;3.5,"Below 3.5",IF(H674&lt;4,"3.5-3.9",IF(H674&lt;4.5,"4.0-4.4","4.5+"))))</f>
        <v>4.0-4.4</v>
      </c>
    </row>
    <row r="675" customFormat="false" ht="15" hidden="false" customHeight="false" outlineLevel="0" collapsed="false">
      <c r="A675" s="10" t="s">
        <v>1373</v>
      </c>
      <c r="B675" s="10" t="s">
        <v>1374</v>
      </c>
      <c r="C675" s="10" t="s">
        <v>21</v>
      </c>
      <c r="D675" s="10" t="s">
        <v>22</v>
      </c>
      <c r="E675" s="11" t="n">
        <v>499</v>
      </c>
      <c r="F675" s="11" t="n">
        <v>179</v>
      </c>
      <c r="G675" s="12" t="n">
        <v>0.64</v>
      </c>
      <c r="H675" s="13" t="n">
        <v>3.4</v>
      </c>
      <c r="I675" s="11" t="n">
        <v>9385</v>
      </c>
      <c r="J675" s="11" t="n">
        <f aca="false">E675-F675</f>
        <v>320</v>
      </c>
      <c r="K675" s="10" t="str">
        <f aca="false">IF(G675&lt;0.2,"0-19%",IF(G675&lt;0.4,"20-39%",IF(G675&lt;0.6,"40-59%",IF(G675&lt;0.8,"60-79%","80%+"))))</f>
        <v>60-79%</v>
      </c>
      <c r="L675" s="10" t="str">
        <f aca="false">IF(H675="","No rating",IF(H675&lt;3.5,"Below 3.5",IF(H675&lt;4,"3.5-3.9",IF(H675&lt;4.5,"4.0-4.4","4.5+"))))</f>
        <v>Below 3.5</v>
      </c>
    </row>
    <row r="676" customFormat="false" ht="15" hidden="false" customHeight="false" outlineLevel="0" collapsed="false">
      <c r="A676" s="10" t="s">
        <v>1375</v>
      </c>
      <c r="B676" s="10" t="s">
        <v>1376</v>
      </c>
      <c r="C676" s="10" t="s">
        <v>48</v>
      </c>
      <c r="D676" s="10" t="s">
        <v>693</v>
      </c>
      <c r="E676" s="11" t="n">
        <v>4999</v>
      </c>
      <c r="F676" s="11" t="n">
        <v>1499</v>
      </c>
      <c r="G676" s="12" t="n">
        <v>0.7</v>
      </c>
      <c r="H676" s="13" t="n">
        <v>4</v>
      </c>
      <c r="I676" s="11" t="n">
        <v>92588</v>
      </c>
      <c r="J676" s="11" t="n">
        <f aca="false">E676-F676</f>
        <v>3500</v>
      </c>
      <c r="K676" s="10" t="str">
        <f aca="false">IF(G676&lt;0.2,"0-19%",IF(G676&lt;0.4,"20-39%",IF(G676&lt;0.6,"40-59%",IF(G676&lt;0.8,"60-79%","80%+"))))</f>
        <v>60-79%</v>
      </c>
      <c r="L676" s="10" t="str">
        <f aca="false">IF(H676="","No rating",IF(H676&lt;3.5,"Below 3.5",IF(H676&lt;4,"3.5-3.9",IF(H676&lt;4.5,"4.0-4.4","4.5+"))))</f>
        <v>4.0-4.4</v>
      </c>
    </row>
    <row r="677" customFormat="false" ht="15" hidden="false" customHeight="false" outlineLevel="0" collapsed="false">
      <c r="A677" s="10" t="s">
        <v>1377</v>
      </c>
      <c r="B677" s="10" t="s">
        <v>1378</v>
      </c>
      <c r="C677" s="10" t="s">
        <v>48</v>
      </c>
      <c r="D677" s="10" t="s">
        <v>722</v>
      </c>
      <c r="E677" s="11" t="n">
        <v>699</v>
      </c>
      <c r="F677" s="11" t="n">
        <v>399</v>
      </c>
      <c r="G677" s="12" t="n">
        <v>0.43</v>
      </c>
      <c r="H677" s="13" t="n">
        <v>3.4</v>
      </c>
      <c r="I677" s="11" t="n">
        <v>3454</v>
      </c>
      <c r="J677" s="11" t="n">
        <f aca="false">E677-F677</f>
        <v>300</v>
      </c>
      <c r="K677" s="10" t="str">
        <f aca="false">IF(G677&lt;0.2,"0-19%",IF(G677&lt;0.4,"20-39%",IF(G677&lt;0.6,"40-59%",IF(G677&lt;0.8,"60-79%","80%+"))))</f>
        <v>40-59%</v>
      </c>
      <c r="L677" s="10" t="str">
        <f aca="false">IF(H677="","No rating",IF(H677&lt;3.5,"Below 3.5",IF(H677&lt;4,"3.5-3.9",IF(H677&lt;4.5,"4.0-4.4","4.5+"))))</f>
        <v>Below 3.5</v>
      </c>
    </row>
    <row r="678" customFormat="false" ht="15" hidden="false" customHeight="false" outlineLevel="0" collapsed="false">
      <c r="A678" s="10" t="s">
        <v>1379</v>
      </c>
      <c r="B678" s="10" t="s">
        <v>1380</v>
      </c>
      <c r="C678" s="10" t="s">
        <v>21</v>
      </c>
      <c r="D678" s="10" t="s">
        <v>22</v>
      </c>
      <c r="E678" s="11" t="n">
        <v>799</v>
      </c>
      <c r="F678" s="11" t="n">
        <v>599</v>
      </c>
      <c r="G678" s="12" t="n">
        <v>0.25</v>
      </c>
      <c r="H678" s="13" t="n">
        <v>4.3</v>
      </c>
      <c r="I678" s="11" t="n">
        <v>15790</v>
      </c>
      <c r="J678" s="11" t="n">
        <f aca="false">E678-F678</f>
        <v>200</v>
      </c>
      <c r="K678" s="10" t="str">
        <f aca="false">IF(G678&lt;0.2,"0-19%",IF(G678&lt;0.4,"20-39%",IF(G678&lt;0.6,"40-59%",IF(G678&lt;0.8,"60-79%","80%+"))))</f>
        <v>20-39%</v>
      </c>
      <c r="L678" s="10" t="str">
        <f aca="false">IF(H678="","No rating",IF(H678&lt;3.5,"Below 3.5",IF(H678&lt;4,"3.5-3.9",IF(H678&lt;4.5,"4.0-4.4","4.5+"))))</f>
        <v>4.0-4.4</v>
      </c>
    </row>
    <row r="679" customFormat="false" ht="15" hidden="false" customHeight="false" outlineLevel="0" collapsed="false">
      <c r="A679" s="10" t="s">
        <v>1381</v>
      </c>
      <c r="B679" s="10" t="s">
        <v>1382</v>
      </c>
      <c r="C679" s="10" t="s">
        <v>21</v>
      </c>
      <c r="D679" s="10" t="s">
        <v>22</v>
      </c>
      <c r="E679" s="11" t="n">
        <v>2000</v>
      </c>
      <c r="F679" s="11" t="n">
        <v>949</v>
      </c>
      <c r="G679" s="12" t="n">
        <v>0.53</v>
      </c>
      <c r="H679" s="13" t="n">
        <v>3.9</v>
      </c>
      <c r="I679" s="11" t="n">
        <v>14969</v>
      </c>
      <c r="J679" s="11" t="n">
        <f aca="false">E679-F679</f>
        <v>1051</v>
      </c>
      <c r="K679" s="10" t="str">
        <f aca="false">IF(G679&lt;0.2,"0-19%",IF(G679&lt;0.4,"20-39%",IF(G679&lt;0.6,"40-59%",IF(G679&lt;0.8,"60-79%","80%+"))))</f>
        <v>40-59%</v>
      </c>
      <c r="L679" s="10" t="str">
        <f aca="false">IF(H679="","No rating",IF(H679&lt;3.5,"Below 3.5",IF(H679&lt;4,"3.5-3.9",IF(H679&lt;4.5,"4.0-4.4","4.5+"))))</f>
        <v>3.5-3.9</v>
      </c>
    </row>
    <row r="680" customFormat="false" ht="15" hidden="false" customHeight="false" outlineLevel="0" collapsed="false">
      <c r="A680" s="10" t="s">
        <v>1383</v>
      </c>
      <c r="B680" s="10" t="s">
        <v>1384</v>
      </c>
      <c r="C680" s="10" t="s">
        <v>48</v>
      </c>
      <c r="D680" s="10" t="s">
        <v>693</v>
      </c>
      <c r="E680" s="11" t="n">
        <v>9999</v>
      </c>
      <c r="F680" s="11" t="n">
        <v>2499</v>
      </c>
      <c r="G680" s="12" t="n">
        <v>0.75</v>
      </c>
      <c r="H680" s="13" t="n">
        <v>4.1</v>
      </c>
      <c r="I680" s="11" t="n">
        <v>42139</v>
      </c>
      <c r="J680" s="11" t="n">
        <f aca="false">E680-F680</f>
        <v>7500</v>
      </c>
      <c r="K680" s="10" t="str">
        <f aca="false">IF(G680&lt;0.2,"0-19%",IF(G680&lt;0.4,"20-39%",IF(G680&lt;0.6,"40-59%",IF(G680&lt;0.8,"60-79%","80%+"))))</f>
        <v>60-79%</v>
      </c>
      <c r="L680" s="10" t="str">
        <f aca="false">IF(H680="","No rating",IF(H680&lt;3.5,"Below 3.5",IF(H680&lt;4,"3.5-3.9",IF(H680&lt;4.5,"4.0-4.4","4.5+"))))</f>
        <v>4.0-4.4</v>
      </c>
    </row>
    <row r="681" customFormat="false" ht="15" hidden="false" customHeight="false" outlineLevel="0" collapsed="false">
      <c r="A681" s="10" t="s">
        <v>1385</v>
      </c>
      <c r="B681" s="10" t="s">
        <v>1386</v>
      </c>
      <c r="C681" s="10" t="s">
        <v>48</v>
      </c>
      <c r="D681" s="10" t="s">
        <v>1174</v>
      </c>
      <c r="E681" s="11" t="n">
        <v>180</v>
      </c>
      <c r="F681" s="11" t="n">
        <v>159</v>
      </c>
      <c r="G681" s="12" t="n">
        <v>0.12</v>
      </c>
      <c r="H681" s="13" t="n">
        <v>4.3</v>
      </c>
      <c r="I681" s="11" t="n">
        <v>989</v>
      </c>
      <c r="J681" s="11" t="n">
        <f aca="false">E681-F681</f>
        <v>21</v>
      </c>
      <c r="K681" s="10" t="str">
        <f aca="false">IF(G681&lt;0.2,"0-19%",IF(G681&lt;0.4,"20-39%",IF(G681&lt;0.6,"40-59%",IF(G681&lt;0.8,"60-79%","80%+"))))</f>
        <v>0-19%</v>
      </c>
      <c r="L681" s="10" t="str">
        <f aca="false">IF(H681="","No rating",IF(H681&lt;3.5,"Below 3.5",IF(H681&lt;4,"3.5-3.9",IF(H681&lt;4.5,"4.0-4.4","4.5+"))))</f>
        <v>4.0-4.4</v>
      </c>
    </row>
    <row r="682" customFormat="false" ht="15" hidden="false" customHeight="false" outlineLevel="0" collapsed="false">
      <c r="A682" s="10" t="s">
        <v>1387</v>
      </c>
      <c r="B682" s="10" t="s">
        <v>1388</v>
      </c>
      <c r="C682" s="10" t="s">
        <v>48</v>
      </c>
      <c r="D682" s="10" t="s">
        <v>713</v>
      </c>
      <c r="E682" s="11" t="n">
        <v>2900</v>
      </c>
      <c r="F682" s="11" t="n">
        <v>1329</v>
      </c>
      <c r="G682" s="12" t="n">
        <v>0.54</v>
      </c>
      <c r="H682" s="13" t="n">
        <v>4.5</v>
      </c>
      <c r="I682" s="11" t="n">
        <v>19624</v>
      </c>
      <c r="J682" s="11" t="n">
        <f aca="false">E682-F682</f>
        <v>1571</v>
      </c>
      <c r="K682" s="10" t="str">
        <f aca="false">IF(G682&lt;0.2,"0-19%",IF(G682&lt;0.4,"20-39%",IF(G682&lt;0.6,"40-59%",IF(G682&lt;0.8,"60-79%","80%+"))))</f>
        <v>40-59%</v>
      </c>
      <c r="L682" s="10" t="str">
        <f aca="false">IF(H682="","No rating",IF(H682&lt;3.5,"Below 3.5",IF(H682&lt;4,"3.5-3.9",IF(H682&lt;4.5,"4.0-4.4","4.5+"))))</f>
        <v>4.5+</v>
      </c>
    </row>
    <row r="683" customFormat="false" ht="15" hidden="false" customHeight="false" outlineLevel="0" collapsed="false">
      <c r="A683" s="10" t="s">
        <v>1389</v>
      </c>
      <c r="B683" s="10" t="s">
        <v>1390</v>
      </c>
      <c r="C683" s="10" t="s">
        <v>21</v>
      </c>
      <c r="D683" s="10" t="s">
        <v>22</v>
      </c>
      <c r="E683" s="11" t="n">
        <v>999</v>
      </c>
      <c r="F683" s="11" t="n">
        <v>570</v>
      </c>
      <c r="G683" s="12" t="n">
        <v>0.43</v>
      </c>
      <c r="H683" s="13" t="n">
        <v>4.2</v>
      </c>
      <c r="I683" s="11" t="n">
        <v>3201</v>
      </c>
      <c r="J683" s="11" t="n">
        <f aca="false">E683-F683</f>
        <v>429</v>
      </c>
      <c r="K683" s="10" t="str">
        <f aca="false">IF(G683&lt;0.2,"0-19%",IF(G683&lt;0.4,"20-39%",IF(G683&lt;0.6,"40-59%",IF(G683&lt;0.8,"60-79%","80%+"))))</f>
        <v>40-59%</v>
      </c>
      <c r="L683" s="10" t="str">
        <f aca="false">IF(H683="","No rating",IF(H683&lt;3.5,"Below 3.5",IF(H683&lt;4,"3.5-3.9",IF(H683&lt;4.5,"4.0-4.4","4.5+"))))</f>
        <v>4.0-4.4</v>
      </c>
    </row>
    <row r="684" customFormat="false" ht="15" hidden="false" customHeight="false" outlineLevel="0" collapsed="false">
      <c r="A684" s="10" t="s">
        <v>1391</v>
      </c>
      <c r="B684" s="10" t="s">
        <v>1392</v>
      </c>
      <c r="C684" s="10" t="s">
        <v>48</v>
      </c>
      <c r="D684" s="10" t="s">
        <v>290</v>
      </c>
      <c r="E684" s="11" t="n">
        <v>1999</v>
      </c>
      <c r="F684" s="11" t="n">
        <v>899</v>
      </c>
      <c r="G684" s="12" t="n">
        <v>0.55</v>
      </c>
      <c r="H684" s="13" t="n">
        <v>4.1</v>
      </c>
      <c r="I684" s="11" t="n">
        <v>30469</v>
      </c>
      <c r="J684" s="11" t="n">
        <f aca="false">E684-F684</f>
        <v>1100</v>
      </c>
      <c r="K684" s="10" t="str">
        <f aca="false">IF(G684&lt;0.2,"0-19%",IF(G684&lt;0.4,"20-39%",IF(G684&lt;0.6,"40-59%",IF(G684&lt;0.8,"60-79%","80%+"))))</f>
        <v>40-59%</v>
      </c>
      <c r="L684" s="10" t="str">
        <f aca="false">IF(H684="","No rating",IF(H684&lt;3.5,"Below 3.5",IF(H684&lt;4,"3.5-3.9",IF(H684&lt;4.5,"4.0-4.4","4.5+"))))</f>
        <v>4.0-4.4</v>
      </c>
    </row>
    <row r="685" customFormat="false" ht="15" hidden="false" customHeight="false" outlineLevel="0" collapsed="false">
      <c r="A685" s="10" t="s">
        <v>1393</v>
      </c>
      <c r="B685" s="10" t="s">
        <v>1394</v>
      </c>
      <c r="C685" s="10" t="s">
        <v>21</v>
      </c>
      <c r="D685" s="10" t="s">
        <v>22</v>
      </c>
      <c r="E685" s="11" t="n">
        <v>999</v>
      </c>
      <c r="F685" s="11" t="n">
        <v>449</v>
      </c>
      <c r="G685" s="12" t="n">
        <v>0.55</v>
      </c>
      <c r="H685" s="13" t="n">
        <v>4.4</v>
      </c>
      <c r="I685" s="11" t="n">
        <v>9940</v>
      </c>
      <c r="J685" s="11" t="n">
        <f aca="false">E685-F685</f>
        <v>550</v>
      </c>
      <c r="K685" s="10" t="str">
        <f aca="false">IF(G685&lt;0.2,"0-19%",IF(G685&lt;0.4,"20-39%",IF(G685&lt;0.6,"40-59%",IF(G685&lt;0.8,"60-79%","80%+"))))</f>
        <v>40-59%</v>
      </c>
      <c r="L685" s="10" t="str">
        <f aca="false">IF(H685="","No rating",IF(H685&lt;3.5,"Below 3.5",IF(H685&lt;4,"3.5-3.9",IF(H685&lt;4.5,"4.0-4.4","4.5+"))))</f>
        <v>4.0-4.4</v>
      </c>
    </row>
    <row r="686" customFormat="false" ht="15" hidden="false" customHeight="false" outlineLevel="0" collapsed="false">
      <c r="A686" s="10" t="s">
        <v>1395</v>
      </c>
      <c r="B686" s="10" t="s">
        <v>1396</v>
      </c>
      <c r="C686" s="10" t="s">
        <v>21</v>
      </c>
      <c r="D686" s="10" t="s">
        <v>1135</v>
      </c>
      <c r="E686" s="11" t="n">
        <v>999</v>
      </c>
      <c r="F686" s="11" t="n">
        <v>549</v>
      </c>
      <c r="G686" s="12" t="n">
        <v>0.45</v>
      </c>
      <c r="H686" s="13" t="n">
        <v>4.3</v>
      </c>
      <c r="I686" s="11" t="n">
        <v>7758</v>
      </c>
      <c r="J686" s="11" t="n">
        <f aca="false">E686-F686</f>
        <v>450</v>
      </c>
      <c r="K686" s="10" t="str">
        <f aca="false">IF(G686&lt;0.2,"0-19%",IF(G686&lt;0.4,"20-39%",IF(G686&lt;0.6,"40-59%",IF(G686&lt;0.8,"60-79%","80%+"))))</f>
        <v>40-59%</v>
      </c>
      <c r="L686" s="10" t="str">
        <f aca="false">IF(H686="","No rating",IF(H686&lt;3.5,"Below 3.5",IF(H686&lt;4,"3.5-3.9",IF(H686&lt;4.5,"4.0-4.4","4.5+"))))</f>
        <v>4.0-4.4</v>
      </c>
    </row>
    <row r="687" customFormat="false" ht="15" hidden="false" customHeight="false" outlineLevel="0" collapsed="false">
      <c r="A687" s="10" t="s">
        <v>1397</v>
      </c>
      <c r="B687" s="10" t="s">
        <v>1398</v>
      </c>
      <c r="C687" s="10" t="s">
        <v>21</v>
      </c>
      <c r="D687" s="10" t="s">
        <v>39</v>
      </c>
      <c r="E687" s="11" t="n">
        <v>2399</v>
      </c>
      <c r="F687" s="11" t="n">
        <v>1529</v>
      </c>
      <c r="G687" s="12" t="n">
        <v>0.36</v>
      </c>
      <c r="H687" s="13" t="n">
        <v>4.3</v>
      </c>
      <c r="I687" s="11" t="n">
        <v>68409</v>
      </c>
      <c r="J687" s="11" t="n">
        <f aca="false">E687-F687</f>
        <v>870</v>
      </c>
      <c r="K687" s="10" t="str">
        <f aca="false">IF(G687&lt;0.2,"0-19%",IF(G687&lt;0.4,"20-39%",IF(G687&lt;0.6,"40-59%",IF(G687&lt;0.8,"60-79%","80%+"))))</f>
        <v>20-39%</v>
      </c>
      <c r="L687" s="10" t="str">
        <f aca="false">IF(H687="","No rating",IF(H687&lt;3.5,"Below 3.5",IF(H687&lt;4,"3.5-3.9",IF(H687&lt;4.5,"4.0-4.4","4.5+"))))</f>
        <v>4.0-4.4</v>
      </c>
    </row>
    <row r="688" customFormat="false" ht="15" hidden="false" customHeight="false" outlineLevel="0" collapsed="false">
      <c r="A688" s="10" t="s">
        <v>1399</v>
      </c>
      <c r="B688" s="10" t="s">
        <v>1400</v>
      </c>
      <c r="C688" s="10" t="s">
        <v>1177</v>
      </c>
      <c r="D688" s="10" t="s">
        <v>1178</v>
      </c>
      <c r="E688" s="11" t="n">
        <v>100</v>
      </c>
      <c r="F688" s="11" t="n">
        <v>100</v>
      </c>
      <c r="G688" s="12" t="n">
        <v>0</v>
      </c>
      <c r="H688" s="13" t="n">
        <v>4.3</v>
      </c>
      <c r="I688" s="11" t="n">
        <v>3095</v>
      </c>
      <c r="J688" s="11" t="n">
        <f aca="false">E688-F688</f>
        <v>0</v>
      </c>
      <c r="K688" s="10" t="str">
        <f aca="false">IF(G688&lt;0.2,"0-19%",IF(G688&lt;0.4,"20-39%",IF(G688&lt;0.6,"40-59%",IF(G688&lt;0.8,"60-79%","80%+"))))</f>
        <v>0-19%</v>
      </c>
      <c r="L688" s="10" t="str">
        <f aca="false">IF(H688="","No rating",IF(H688&lt;3.5,"Below 3.5",IF(H688&lt;4,"3.5-3.9",IF(H688&lt;4.5,"4.0-4.4","4.5+"))))</f>
        <v>4.0-4.4</v>
      </c>
    </row>
    <row r="689" customFormat="false" ht="15" hidden="false" customHeight="false" outlineLevel="0" collapsed="false">
      <c r="A689" s="10" t="s">
        <v>1401</v>
      </c>
      <c r="B689" s="10" t="s">
        <v>1402</v>
      </c>
      <c r="C689" s="10" t="s">
        <v>21</v>
      </c>
      <c r="D689" s="10" t="s">
        <v>22</v>
      </c>
      <c r="E689" s="11" t="n">
        <v>1499</v>
      </c>
      <c r="F689" s="11" t="n">
        <v>299</v>
      </c>
      <c r="G689" s="12" t="n">
        <v>0.8</v>
      </c>
      <c r="H689" s="13" t="n">
        <v>4.2</v>
      </c>
      <c r="I689" s="11" t="n">
        <v>903</v>
      </c>
      <c r="J689" s="11" t="n">
        <f aca="false">E689-F689</f>
        <v>1200</v>
      </c>
      <c r="K689" s="10" t="str">
        <f aca="false">IF(G689&lt;0.2,"0-19%",IF(G689&lt;0.4,"20-39%",IF(G689&lt;0.6,"40-59%",IF(G689&lt;0.8,"60-79%","80%+"))))</f>
        <v>80%+</v>
      </c>
      <c r="L689" s="10" t="str">
        <f aca="false">IF(H689="","No rating",IF(H689&lt;3.5,"Below 3.5",IF(H689&lt;4,"3.5-3.9",IF(H689&lt;4.5,"4.0-4.4","4.5+"))))</f>
        <v>4.0-4.4</v>
      </c>
    </row>
    <row r="690" customFormat="false" ht="15" hidden="false" customHeight="false" outlineLevel="0" collapsed="false">
      <c r="A690" s="10" t="s">
        <v>1403</v>
      </c>
      <c r="B690" s="10" t="s">
        <v>1404</v>
      </c>
      <c r="C690" s="10" t="s">
        <v>21</v>
      </c>
      <c r="D690" s="10" t="s">
        <v>22</v>
      </c>
      <c r="E690" s="11" t="n">
        <v>1795</v>
      </c>
      <c r="F690" s="11" t="n">
        <v>1295</v>
      </c>
      <c r="G690" s="12" t="n">
        <v>0.28</v>
      </c>
      <c r="H690" s="13" t="n">
        <v>4.1</v>
      </c>
      <c r="I690" s="11" t="n">
        <v>25771</v>
      </c>
      <c r="J690" s="11" t="n">
        <f aca="false">E690-F690</f>
        <v>500</v>
      </c>
      <c r="K690" s="10" t="str">
        <f aca="false">IF(G690&lt;0.2,"0-19%",IF(G690&lt;0.4,"20-39%",IF(G690&lt;0.6,"40-59%",IF(G690&lt;0.8,"60-79%","80%+"))))</f>
        <v>20-39%</v>
      </c>
      <c r="L690" s="10" t="str">
        <f aca="false">IF(H690="","No rating",IF(H690&lt;3.5,"Below 3.5",IF(H690&lt;4,"3.5-3.9",IF(H690&lt;4.5,"4.0-4.4","4.5+"))))</f>
        <v>4.0-4.4</v>
      </c>
    </row>
    <row r="691" customFormat="false" ht="15" hidden="false" customHeight="false" outlineLevel="0" collapsed="false">
      <c r="A691" s="10" t="s">
        <v>1405</v>
      </c>
      <c r="B691" s="10" t="s">
        <v>1406</v>
      </c>
      <c r="C691" s="10" t="s">
        <v>48</v>
      </c>
      <c r="D691" s="10" t="s">
        <v>722</v>
      </c>
      <c r="E691" s="11" t="n">
        <v>999</v>
      </c>
      <c r="F691" s="11" t="n">
        <v>699</v>
      </c>
      <c r="G691" s="12" t="n">
        <v>0.3</v>
      </c>
      <c r="H691" s="13" t="n">
        <v>4.1</v>
      </c>
      <c r="I691" s="11" t="n">
        <v>273189</v>
      </c>
      <c r="J691" s="11" t="n">
        <f aca="false">E691-F691</f>
        <v>300</v>
      </c>
      <c r="K691" s="10" t="str">
        <f aca="false">IF(G691&lt;0.2,"0-19%",IF(G691&lt;0.4,"20-39%",IF(G691&lt;0.6,"40-59%",IF(G691&lt;0.8,"60-79%","80%+"))))</f>
        <v>20-39%</v>
      </c>
      <c r="L691" s="10" t="str">
        <f aca="false">IF(H691="","No rating",IF(H691&lt;3.5,"Below 3.5",IF(H691&lt;4,"3.5-3.9",IF(H691&lt;4.5,"4.0-4.4","4.5+"))))</f>
        <v>4.0-4.4</v>
      </c>
    </row>
    <row r="692" customFormat="false" ht="15" hidden="false" customHeight="false" outlineLevel="0" collapsed="false">
      <c r="A692" s="10" t="s">
        <v>1407</v>
      </c>
      <c r="B692" s="10" t="s">
        <v>1408</v>
      </c>
      <c r="C692" s="10" t="s">
        <v>1177</v>
      </c>
      <c r="D692" s="10" t="s">
        <v>1178</v>
      </c>
      <c r="E692" s="11" t="n">
        <v>315</v>
      </c>
      <c r="F692" s="11" t="n">
        <v>252</v>
      </c>
      <c r="G692" s="12" t="n">
        <v>0.2</v>
      </c>
      <c r="H692" s="13" t="n">
        <v>4.5</v>
      </c>
      <c r="I692" s="11" t="n">
        <v>3785</v>
      </c>
      <c r="J692" s="11" t="n">
        <f aca="false">E692-F692</f>
        <v>63</v>
      </c>
      <c r="K692" s="10" t="str">
        <f aca="false">IF(G692&lt;0.2,"0-19%",IF(G692&lt;0.4,"20-39%",IF(G692&lt;0.6,"40-59%",IF(G692&lt;0.8,"60-79%","80%+"))))</f>
        <v>20-39%</v>
      </c>
      <c r="L692" s="10" t="str">
        <f aca="false">IF(H692="","No rating",IF(H692&lt;3.5,"Below 3.5",IF(H692&lt;4,"3.5-3.9",IF(H692&lt;4.5,"4.0-4.4","4.5+"))))</f>
        <v>4.5+</v>
      </c>
    </row>
    <row r="693" customFormat="false" ht="15" hidden="false" customHeight="false" outlineLevel="0" collapsed="false">
      <c r="A693" s="10" t="s">
        <v>1409</v>
      </c>
      <c r="B693" s="10" t="s">
        <v>1410</v>
      </c>
      <c r="C693" s="10" t="s">
        <v>48</v>
      </c>
      <c r="D693" s="10" t="s">
        <v>1174</v>
      </c>
      <c r="E693" s="11" t="n">
        <v>220</v>
      </c>
      <c r="F693" s="11" t="n">
        <v>190</v>
      </c>
      <c r="G693" s="12" t="n">
        <v>0.14</v>
      </c>
      <c r="H693" s="13" t="n">
        <v>4.4</v>
      </c>
      <c r="I693" s="11" t="n">
        <v>2866</v>
      </c>
      <c r="J693" s="11" t="n">
        <f aca="false">E693-F693</f>
        <v>30</v>
      </c>
      <c r="K693" s="10" t="str">
        <f aca="false">IF(G693&lt;0.2,"0-19%",IF(G693&lt;0.4,"20-39%",IF(G693&lt;0.6,"40-59%",IF(G693&lt;0.8,"60-79%","80%+"))))</f>
        <v>0-19%</v>
      </c>
      <c r="L693" s="10" t="str">
        <f aca="false">IF(H693="","No rating",IF(H693&lt;3.5,"Below 3.5",IF(H693&lt;4,"3.5-3.9",IF(H693&lt;4.5,"4.0-4.4","4.5+"))))</f>
        <v>4.0-4.4</v>
      </c>
    </row>
    <row r="694" customFormat="false" ht="15" hidden="false" customHeight="false" outlineLevel="0" collapsed="false">
      <c r="A694" s="10" t="s">
        <v>1411</v>
      </c>
      <c r="B694" s="10" t="s">
        <v>1412</v>
      </c>
      <c r="C694" s="10" t="s">
        <v>21</v>
      </c>
      <c r="D694" s="10" t="s">
        <v>22</v>
      </c>
      <c r="E694" s="11" t="n">
        <v>1599</v>
      </c>
      <c r="F694" s="11" t="n">
        <v>1299</v>
      </c>
      <c r="G694" s="12" t="n">
        <v>0.19</v>
      </c>
      <c r="H694" s="13" t="n">
        <v>4.3</v>
      </c>
      <c r="I694" s="11" t="n">
        <v>27223</v>
      </c>
      <c r="J694" s="11" t="n">
        <f aca="false">E694-F694</f>
        <v>300</v>
      </c>
      <c r="K694" s="10" t="str">
        <f aca="false">IF(G694&lt;0.2,"0-19%",IF(G694&lt;0.4,"20-39%",IF(G694&lt;0.6,"40-59%",IF(G694&lt;0.8,"60-79%","80%+"))))</f>
        <v>0-19%</v>
      </c>
      <c r="L694" s="10" t="str">
        <f aca="false">IF(H694="","No rating",IF(H694&lt;3.5,"Below 3.5",IF(H694&lt;4,"3.5-3.9",IF(H694&lt;4.5,"4.0-4.4","4.5+"))))</f>
        <v>4.0-4.4</v>
      </c>
    </row>
    <row r="695" customFormat="false" ht="15" hidden="false" customHeight="false" outlineLevel="0" collapsed="false">
      <c r="A695" s="10" t="s">
        <v>1413</v>
      </c>
      <c r="B695" s="10" t="s">
        <v>1414</v>
      </c>
      <c r="C695" s="10" t="s">
        <v>21</v>
      </c>
      <c r="D695" s="10" t="s">
        <v>1135</v>
      </c>
      <c r="E695" s="11" t="n">
        <v>1650</v>
      </c>
      <c r="F695" s="11" t="n">
        <v>729</v>
      </c>
      <c r="G695" s="12" t="n">
        <v>0.56</v>
      </c>
      <c r="H695" s="13" t="n">
        <v>4.3</v>
      </c>
      <c r="I695" s="11" t="n">
        <v>82356</v>
      </c>
      <c r="J695" s="11" t="n">
        <f aca="false">E695-F695</f>
        <v>921</v>
      </c>
      <c r="K695" s="10" t="str">
        <f aca="false">IF(G695&lt;0.2,"0-19%",IF(G695&lt;0.4,"20-39%",IF(G695&lt;0.6,"40-59%",IF(G695&lt;0.8,"60-79%","80%+"))))</f>
        <v>40-59%</v>
      </c>
      <c r="L695" s="10" t="str">
        <f aca="false">IF(H695="","No rating",IF(H695&lt;3.5,"Below 3.5",IF(H695&lt;4,"3.5-3.9",IF(H695&lt;4.5,"4.0-4.4","4.5+"))))</f>
        <v>4.0-4.4</v>
      </c>
    </row>
    <row r="696" customFormat="false" ht="15" hidden="false" customHeight="false" outlineLevel="0" collapsed="false">
      <c r="A696" s="10" t="s">
        <v>1415</v>
      </c>
      <c r="B696" s="10" t="s">
        <v>1416</v>
      </c>
      <c r="C696" s="10" t="s">
        <v>1177</v>
      </c>
      <c r="D696" s="10" t="s">
        <v>1178</v>
      </c>
      <c r="E696" s="11" t="n">
        <v>600</v>
      </c>
      <c r="F696" s="11" t="n">
        <v>480</v>
      </c>
      <c r="G696" s="12" t="n">
        <v>0.2</v>
      </c>
      <c r="H696" s="13" t="n">
        <v>4.3</v>
      </c>
      <c r="I696" s="11" t="n">
        <v>5719</v>
      </c>
      <c r="J696" s="11" t="n">
        <f aca="false">E696-F696</f>
        <v>120</v>
      </c>
      <c r="K696" s="10" t="str">
        <f aca="false">IF(G696&lt;0.2,"0-19%",IF(G696&lt;0.4,"20-39%",IF(G696&lt;0.6,"40-59%",IF(G696&lt;0.8,"60-79%","80%+"))))</f>
        <v>20-39%</v>
      </c>
      <c r="L696" s="10" t="str">
        <f aca="false">IF(H696="","No rating",IF(H696&lt;3.5,"Below 3.5",IF(H696&lt;4,"3.5-3.9",IF(H696&lt;4.5,"4.0-4.4","4.5+"))))</f>
        <v>4.0-4.4</v>
      </c>
    </row>
    <row r="697" customFormat="false" ht="15" hidden="false" customHeight="false" outlineLevel="0" collapsed="false">
      <c r="A697" s="10" t="s">
        <v>1417</v>
      </c>
      <c r="B697" s="10" t="s">
        <v>1418</v>
      </c>
      <c r="C697" s="10" t="s">
        <v>21</v>
      </c>
      <c r="D697" s="10" t="s">
        <v>22</v>
      </c>
      <c r="E697" s="11" t="n">
        <v>2499</v>
      </c>
      <c r="F697" s="11" t="n">
        <v>999</v>
      </c>
      <c r="G697" s="12" t="n">
        <v>0.6</v>
      </c>
      <c r="H697" s="13" t="n">
        <v>4.3</v>
      </c>
      <c r="I697" s="11" t="n">
        <v>1690</v>
      </c>
      <c r="J697" s="11" t="n">
        <f aca="false">E697-F697</f>
        <v>1500</v>
      </c>
      <c r="K697" s="10" t="str">
        <f aca="false">IF(G697&lt;0.2,"0-19%",IF(G697&lt;0.4,"20-39%",IF(G697&lt;0.6,"40-59%",IF(G697&lt;0.8,"60-79%","80%+"))))</f>
        <v>60-79%</v>
      </c>
      <c r="L697" s="10" t="str">
        <f aca="false">IF(H697="","No rating",IF(H697&lt;3.5,"Below 3.5",IF(H697&lt;4,"3.5-3.9",IF(H697&lt;4.5,"4.0-4.4","4.5+"))))</f>
        <v>4.0-4.4</v>
      </c>
    </row>
    <row r="698" customFormat="false" ht="15" hidden="false" customHeight="false" outlineLevel="0" collapsed="false">
      <c r="A698" s="10" t="s">
        <v>1419</v>
      </c>
      <c r="B698" s="10" t="s">
        <v>1420</v>
      </c>
      <c r="C698" s="10" t="s">
        <v>21</v>
      </c>
      <c r="D698" s="10" t="s">
        <v>22</v>
      </c>
      <c r="E698" s="11" t="n">
        <v>699</v>
      </c>
      <c r="F698" s="11" t="n">
        <v>238</v>
      </c>
      <c r="G698" s="12" t="n">
        <v>0.66</v>
      </c>
      <c r="H698" s="13" t="n">
        <v>4.4</v>
      </c>
      <c r="I698" s="11" t="n">
        <v>8372</v>
      </c>
      <c r="J698" s="11" t="n">
        <f aca="false">E698-F698</f>
        <v>461</v>
      </c>
      <c r="K698" s="10" t="str">
        <f aca="false">IF(G698&lt;0.2,"0-19%",IF(G698&lt;0.4,"20-39%",IF(G698&lt;0.6,"40-59%",IF(G698&lt;0.8,"60-79%","80%+"))))</f>
        <v>60-79%</v>
      </c>
      <c r="L698" s="10" t="str">
        <f aca="false">IF(H698="","No rating",IF(H698&lt;3.5,"Below 3.5",IF(H698&lt;4,"3.5-3.9",IF(H698&lt;4.5,"4.0-4.4","4.5+"))))</f>
        <v>4.0-4.4</v>
      </c>
    </row>
    <row r="699" customFormat="false" ht="15" hidden="false" customHeight="false" outlineLevel="0" collapsed="false">
      <c r="A699" s="10" t="s">
        <v>1421</v>
      </c>
      <c r="B699" s="10" t="s">
        <v>1422</v>
      </c>
      <c r="C699" s="10" t="s">
        <v>21</v>
      </c>
      <c r="D699" s="10" t="s">
        <v>22</v>
      </c>
      <c r="E699" s="11" t="n">
        <v>2198</v>
      </c>
      <c r="F699" s="11" t="n">
        <v>1349</v>
      </c>
      <c r="G699" s="12" t="n">
        <v>0.39</v>
      </c>
      <c r="H699" s="13" t="n">
        <v>4</v>
      </c>
      <c r="I699" s="11" t="n">
        <v>7113</v>
      </c>
      <c r="J699" s="11" t="n">
        <f aca="false">E699-F699</f>
        <v>849</v>
      </c>
      <c r="K699" s="10" t="str">
        <f aca="false">IF(G699&lt;0.2,"0-19%",IF(G699&lt;0.4,"20-39%",IF(G699&lt;0.6,"40-59%",IF(G699&lt;0.8,"60-79%","80%+"))))</f>
        <v>20-39%</v>
      </c>
      <c r="L699" s="10" t="str">
        <f aca="false">IF(H699="","No rating",IF(H699&lt;3.5,"Below 3.5",IF(H699&lt;4,"3.5-3.9",IF(H699&lt;4.5,"4.0-4.4","4.5+"))))</f>
        <v>4.0-4.4</v>
      </c>
    </row>
    <row r="700" customFormat="false" ht="15" hidden="false" customHeight="false" outlineLevel="0" collapsed="false">
      <c r="A700" s="10" t="s">
        <v>1423</v>
      </c>
      <c r="B700" s="10" t="s">
        <v>1424</v>
      </c>
      <c r="C700" s="10" t="s">
        <v>21</v>
      </c>
      <c r="D700" s="10" t="s">
        <v>22</v>
      </c>
      <c r="E700" s="11" t="n">
        <v>499</v>
      </c>
      <c r="F700" s="11" t="n">
        <v>199</v>
      </c>
      <c r="G700" s="12" t="n">
        <v>0.6</v>
      </c>
      <c r="H700" s="13" t="n">
        <v>3.3</v>
      </c>
      <c r="I700" s="11" t="n">
        <v>2804</v>
      </c>
      <c r="J700" s="11" t="n">
        <f aca="false">E700-F700</f>
        <v>300</v>
      </c>
      <c r="K700" s="10" t="str">
        <f aca="false">IF(G700&lt;0.2,"0-19%",IF(G700&lt;0.4,"20-39%",IF(G700&lt;0.6,"40-59%",IF(G700&lt;0.8,"60-79%","80%+"))))</f>
        <v>60-79%</v>
      </c>
      <c r="L700" s="10" t="str">
        <f aca="false">IF(H700="","No rating",IF(H700&lt;3.5,"Below 3.5",IF(H700&lt;4,"3.5-3.9",IF(H700&lt;4.5,"4.0-4.4","4.5+"))))</f>
        <v>Below 3.5</v>
      </c>
    </row>
    <row r="701" customFormat="false" ht="15" hidden="false" customHeight="false" outlineLevel="0" collapsed="false">
      <c r="A701" s="10" t="s">
        <v>1425</v>
      </c>
      <c r="B701" s="10" t="s">
        <v>1426</v>
      </c>
      <c r="C701" s="10" t="s">
        <v>48</v>
      </c>
      <c r="D701" s="10" t="s">
        <v>722</v>
      </c>
      <c r="E701" s="11" t="n">
        <v>9999</v>
      </c>
      <c r="F701" s="11" t="n">
        <v>1999</v>
      </c>
      <c r="G701" s="12" t="n">
        <v>0.8</v>
      </c>
      <c r="H701" s="13" t="n">
        <v>3.7</v>
      </c>
      <c r="I701" s="11" t="n">
        <v>1986</v>
      </c>
      <c r="J701" s="11" t="n">
        <f aca="false">E701-F701</f>
        <v>8000</v>
      </c>
      <c r="K701" s="10" t="str">
        <f aca="false">IF(G701&lt;0.2,"0-19%",IF(G701&lt;0.4,"20-39%",IF(G701&lt;0.6,"40-59%",IF(G701&lt;0.8,"60-79%","80%+"))))</f>
        <v>80%+</v>
      </c>
      <c r="L701" s="10" t="str">
        <f aca="false">IF(H701="","No rating",IF(H701&lt;3.5,"Below 3.5",IF(H701&lt;4,"3.5-3.9",IF(H701&lt;4.5,"4.0-4.4","4.5+"))))</f>
        <v>3.5-3.9</v>
      </c>
    </row>
    <row r="702" customFormat="false" ht="15" hidden="false" customHeight="false" outlineLevel="0" collapsed="false">
      <c r="A702" s="10" t="s">
        <v>1427</v>
      </c>
      <c r="B702" s="10" t="s">
        <v>1428</v>
      </c>
      <c r="C702" s="10" t="s">
        <v>48</v>
      </c>
      <c r="D702" s="10" t="s">
        <v>700</v>
      </c>
      <c r="E702" s="11" t="n">
        <v>499</v>
      </c>
      <c r="F702" s="11" t="n">
        <v>99</v>
      </c>
      <c r="G702" s="12" t="n">
        <v>0.8</v>
      </c>
      <c r="H702" s="13" t="n">
        <v>4.1</v>
      </c>
      <c r="I702" s="11" t="n">
        <v>2451</v>
      </c>
      <c r="J702" s="11" t="n">
        <f aca="false">E702-F702</f>
        <v>400</v>
      </c>
      <c r="K702" s="10" t="str">
        <f aca="false">IF(G702&lt;0.2,"0-19%",IF(G702&lt;0.4,"20-39%",IF(G702&lt;0.6,"40-59%",IF(G702&lt;0.8,"60-79%","80%+"))))</f>
        <v>80%+</v>
      </c>
      <c r="L702" s="10" t="str">
        <f aca="false">IF(H702="","No rating",IF(H702&lt;3.5,"Below 3.5",IF(H702&lt;4,"3.5-3.9",IF(H702&lt;4.5,"4.0-4.4","4.5+"))))</f>
        <v>4.0-4.4</v>
      </c>
    </row>
    <row r="703" customFormat="false" ht="15" hidden="false" customHeight="false" outlineLevel="0" collapsed="false">
      <c r="A703" s="10" t="s">
        <v>1429</v>
      </c>
      <c r="B703" s="10" t="s">
        <v>1430</v>
      </c>
      <c r="C703" s="10" t="s">
        <v>21</v>
      </c>
      <c r="D703" s="10" t="s">
        <v>22</v>
      </c>
      <c r="E703" s="11" t="n">
        <v>1000</v>
      </c>
      <c r="F703" s="11" t="n">
        <v>499</v>
      </c>
      <c r="G703" s="12" t="n">
        <v>0.5</v>
      </c>
      <c r="H703" s="13" t="n">
        <v>5</v>
      </c>
      <c r="I703" s="11" t="n">
        <v>23</v>
      </c>
      <c r="J703" s="11" t="n">
        <f aca="false">E703-F703</f>
        <v>501</v>
      </c>
      <c r="K703" s="10" t="str">
        <f aca="false">IF(G703&lt;0.2,"0-19%",IF(G703&lt;0.4,"20-39%",IF(G703&lt;0.6,"40-59%",IF(G703&lt;0.8,"60-79%","80%+"))))</f>
        <v>40-59%</v>
      </c>
      <c r="L703" s="10" t="str">
        <f aca="false">IF(H703="","No rating",IF(H703&lt;3.5,"Below 3.5",IF(H703&lt;4,"3.5-3.9",IF(H703&lt;4.5,"4.0-4.4","4.5+"))))</f>
        <v>4.5+</v>
      </c>
    </row>
    <row r="704" customFormat="false" ht="15" hidden="false" customHeight="false" outlineLevel="0" collapsed="false">
      <c r="A704" s="10" t="s">
        <v>1431</v>
      </c>
      <c r="B704" s="10" t="s">
        <v>1432</v>
      </c>
      <c r="C704" s="10" t="s">
        <v>21</v>
      </c>
      <c r="D704" s="10" t="s">
        <v>1433</v>
      </c>
      <c r="E704" s="11" t="n">
        <v>3500</v>
      </c>
      <c r="F704" s="11" t="n">
        <v>1792</v>
      </c>
      <c r="G704" s="12" t="n">
        <v>0.49</v>
      </c>
      <c r="H704" s="13" t="n">
        <v>4.5</v>
      </c>
      <c r="I704" s="11" t="n">
        <v>26194</v>
      </c>
      <c r="J704" s="11" t="n">
        <f aca="false">E704-F704</f>
        <v>1708</v>
      </c>
      <c r="K704" s="10" t="str">
        <f aca="false">IF(G704&lt;0.2,"0-19%",IF(G704&lt;0.4,"20-39%",IF(G704&lt;0.6,"40-59%",IF(G704&lt;0.8,"60-79%","80%+"))))</f>
        <v>40-59%</v>
      </c>
      <c r="L704" s="10" t="str">
        <f aca="false">IF(H704="","No rating",IF(H704&lt;3.5,"Below 3.5",IF(H704&lt;4,"3.5-3.9",IF(H704&lt;4.5,"4.0-4.4","4.5+"))))</f>
        <v>4.5+</v>
      </c>
    </row>
    <row r="705" customFormat="false" ht="15" hidden="false" customHeight="false" outlineLevel="0" collapsed="false">
      <c r="A705" s="10" t="s">
        <v>1434</v>
      </c>
      <c r="B705" s="10" t="s">
        <v>1435</v>
      </c>
      <c r="C705" s="10" t="s">
        <v>21</v>
      </c>
      <c r="D705" s="10" t="s">
        <v>22</v>
      </c>
      <c r="E705" s="11" t="n">
        <v>4100</v>
      </c>
      <c r="F705" s="11" t="n">
        <v>3299</v>
      </c>
      <c r="G705" s="12" t="n">
        <v>0.2</v>
      </c>
      <c r="H705" s="13" t="n">
        <v>3.9</v>
      </c>
      <c r="I705" s="11" t="n">
        <v>15783</v>
      </c>
      <c r="J705" s="11" t="n">
        <f aca="false">E705-F705</f>
        <v>801</v>
      </c>
      <c r="K705" s="10" t="str">
        <f aca="false">IF(G705&lt;0.2,"0-19%",IF(G705&lt;0.4,"20-39%",IF(G705&lt;0.6,"40-59%",IF(G705&lt;0.8,"60-79%","80%+"))))</f>
        <v>20-39%</v>
      </c>
      <c r="L705" s="10" t="str">
        <f aca="false">IF(H705="","No rating",IF(H705&lt;3.5,"Below 3.5",IF(H705&lt;4,"3.5-3.9",IF(H705&lt;4.5,"4.0-4.4","4.5+"))))</f>
        <v>3.5-3.9</v>
      </c>
    </row>
    <row r="706" customFormat="false" ht="15" hidden="false" customHeight="false" outlineLevel="0" collapsed="false">
      <c r="A706" s="10" t="s">
        <v>1436</v>
      </c>
      <c r="B706" s="10" t="s">
        <v>1437</v>
      </c>
      <c r="C706" s="10" t="s">
        <v>1177</v>
      </c>
      <c r="D706" s="10" t="s">
        <v>1178</v>
      </c>
      <c r="E706" s="11" t="n">
        <v>180</v>
      </c>
      <c r="F706" s="11" t="n">
        <v>125</v>
      </c>
      <c r="G706" s="12" t="n">
        <v>0.31</v>
      </c>
      <c r="H706" s="13" t="n">
        <v>4.4</v>
      </c>
      <c r="I706" s="11" t="n">
        <v>8053</v>
      </c>
      <c r="J706" s="11" t="n">
        <f aca="false">E706-F706</f>
        <v>55</v>
      </c>
      <c r="K706" s="10" t="str">
        <f aca="false">IF(G706&lt;0.2,"0-19%",IF(G706&lt;0.4,"20-39%",IF(G706&lt;0.6,"40-59%",IF(G706&lt;0.8,"60-79%","80%+"))))</f>
        <v>20-39%</v>
      </c>
      <c r="L706" s="10" t="str">
        <f aca="false">IF(H706="","No rating",IF(H706&lt;3.5,"Below 3.5",IF(H706&lt;4,"3.5-3.9",IF(H706&lt;4.5,"4.0-4.4","4.5+"))))</f>
        <v>4.0-4.4</v>
      </c>
    </row>
    <row r="707" customFormat="false" ht="15" hidden="false" customHeight="false" outlineLevel="0" collapsed="false">
      <c r="A707" s="10" t="s">
        <v>1438</v>
      </c>
      <c r="B707" s="10" t="s">
        <v>1439</v>
      </c>
      <c r="C707" s="10" t="s">
        <v>21</v>
      </c>
      <c r="D707" s="10" t="s">
        <v>22</v>
      </c>
      <c r="E707" s="11" t="n">
        <v>1190</v>
      </c>
      <c r="F707" s="11" t="n">
        <v>399</v>
      </c>
      <c r="G707" s="12" t="n">
        <v>0.66</v>
      </c>
      <c r="H707" s="13" t="n">
        <v>4.1</v>
      </c>
      <c r="I707" s="11" t="n">
        <v>2809</v>
      </c>
      <c r="J707" s="11" t="n">
        <f aca="false">E707-F707</f>
        <v>791</v>
      </c>
      <c r="K707" s="10" t="str">
        <f aca="false">IF(G707&lt;0.2,"0-19%",IF(G707&lt;0.4,"20-39%",IF(G707&lt;0.6,"40-59%",IF(G707&lt;0.8,"60-79%","80%+"))))</f>
        <v>60-79%</v>
      </c>
      <c r="L707" s="10" t="str">
        <f aca="false">IF(H707="","No rating",IF(H707&lt;3.5,"Below 3.5",IF(H707&lt;4,"3.5-3.9",IF(H707&lt;4.5,"4.0-4.4","4.5+"))))</f>
        <v>4.0-4.4</v>
      </c>
    </row>
    <row r="708" customFormat="false" ht="15" hidden="false" customHeight="false" outlineLevel="0" collapsed="false">
      <c r="A708" s="10" t="s">
        <v>1440</v>
      </c>
      <c r="B708" s="10" t="s">
        <v>1441</v>
      </c>
      <c r="C708" s="10" t="s">
        <v>48</v>
      </c>
      <c r="D708" s="10" t="s">
        <v>722</v>
      </c>
      <c r="E708" s="11" t="n">
        <v>7999</v>
      </c>
      <c r="F708" s="11" t="n">
        <v>1199</v>
      </c>
      <c r="G708" s="12" t="n">
        <v>0.85</v>
      </c>
      <c r="H708" s="13" t="n">
        <v>3.6</v>
      </c>
      <c r="I708" s="11" t="n">
        <v>25910</v>
      </c>
      <c r="J708" s="11" t="n">
        <f aca="false">E708-F708</f>
        <v>6800</v>
      </c>
      <c r="K708" s="10" t="str">
        <f aca="false">IF(G708&lt;0.2,"0-19%",IF(G708&lt;0.4,"20-39%",IF(G708&lt;0.6,"40-59%",IF(G708&lt;0.8,"60-79%","80%+"))))</f>
        <v>80%+</v>
      </c>
      <c r="L708" s="10" t="str">
        <f aca="false">IF(H708="","No rating",IF(H708&lt;3.5,"Below 3.5",IF(H708&lt;4,"3.5-3.9",IF(H708&lt;4.5,"4.0-4.4","4.5+"))))</f>
        <v>3.5-3.9</v>
      </c>
    </row>
    <row r="709" customFormat="false" ht="15" hidden="false" customHeight="false" outlineLevel="0" collapsed="false">
      <c r="A709" s="10" t="s">
        <v>1442</v>
      </c>
      <c r="B709" s="10" t="s">
        <v>1443</v>
      </c>
      <c r="C709" s="10" t="s">
        <v>21</v>
      </c>
      <c r="D709" s="10" t="s">
        <v>22</v>
      </c>
      <c r="E709" s="11" t="n">
        <v>1599</v>
      </c>
      <c r="F709" s="11" t="n">
        <v>235</v>
      </c>
      <c r="G709" s="12" t="n">
        <v>0.85</v>
      </c>
      <c r="H709" s="13" t="n">
        <v>3.8</v>
      </c>
      <c r="I709" s="11" t="n">
        <v>1173</v>
      </c>
      <c r="J709" s="11" t="n">
        <f aca="false">E709-F709</f>
        <v>1364</v>
      </c>
      <c r="K709" s="10" t="str">
        <f aca="false">IF(G709&lt;0.2,"0-19%",IF(G709&lt;0.4,"20-39%",IF(G709&lt;0.6,"40-59%",IF(G709&lt;0.8,"60-79%","80%+"))))</f>
        <v>80%+</v>
      </c>
      <c r="L709" s="10" t="str">
        <f aca="false">IF(H709="","No rating",IF(H709&lt;3.5,"Below 3.5",IF(H709&lt;4,"3.5-3.9",IF(H709&lt;4.5,"4.0-4.4","4.5+"))))</f>
        <v>3.5-3.9</v>
      </c>
    </row>
    <row r="710" customFormat="false" ht="15" hidden="false" customHeight="false" outlineLevel="0" collapsed="false">
      <c r="A710" s="10" t="s">
        <v>1444</v>
      </c>
      <c r="B710" s="10" t="s">
        <v>1445</v>
      </c>
      <c r="C710" s="10" t="s">
        <v>21</v>
      </c>
      <c r="D710" s="10" t="s">
        <v>22</v>
      </c>
      <c r="E710" s="11" t="n">
        <v>1999</v>
      </c>
      <c r="F710" s="11" t="n">
        <v>549</v>
      </c>
      <c r="G710" s="12" t="n">
        <v>0.73</v>
      </c>
      <c r="H710" s="13" t="n">
        <v>3.6</v>
      </c>
      <c r="I710" s="11" t="n">
        <v>6422</v>
      </c>
      <c r="J710" s="11" t="n">
        <f aca="false">E710-F710</f>
        <v>1450</v>
      </c>
      <c r="K710" s="10" t="str">
        <f aca="false">IF(G710&lt;0.2,"0-19%",IF(G710&lt;0.4,"20-39%",IF(G710&lt;0.6,"40-59%",IF(G710&lt;0.8,"60-79%","80%+"))))</f>
        <v>60-79%</v>
      </c>
      <c r="L710" s="10" t="str">
        <f aca="false">IF(H710="","No rating",IF(H710&lt;3.5,"Below 3.5",IF(H710&lt;4,"3.5-3.9",IF(H710&lt;4.5,"4.0-4.4","4.5+"))))</f>
        <v>3.5-3.9</v>
      </c>
    </row>
    <row r="711" customFormat="false" ht="15" hidden="false" customHeight="false" outlineLevel="0" collapsed="false">
      <c r="A711" s="10" t="s">
        <v>1446</v>
      </c>
      <c r="B711" s="10" t="s">
        <v>1447</v>
      </c>
      <c r="C711" s="10" t="s">
        <v>21</v>
      </c>
      <c r="D711" s="10" t="s">
        <v>22</v>
      </c>
      <c r="E711" s="11" t="n">
        <v>99</v>
      </c>
      <c r="F711" s="11" t="n">
        <v>89</v>
      </c>
      <c r="G711" s="12" t="n">
        <v>0.1</v>
      </c>
      <c r="H711" s="13" t="n">
        <v>4.2</v>
      </c>
      <c r="I711" s="11" t="n">
        <v>241</v>
      </c>
      <c r="J711" s="11" t="n">
        <f aca="false">E711-F711</f>
        <v>10</v>
      </c>
      <c r="K711" s="10" t="str">
        <f aca="false">IF(G711&lt;0.2,"0-19%",IF(G711&lt;0.4,"20-39%",IF(G711&lt;0.6,"40-59%",IF(G711&lt;0.8,"60-79%","80%+"))))</f>
        <v>0-19%</v>
      </c>
      <c r="L711" s="10" t="str">
        <f aca="false">IF(H711="","No rating",IF(H711&lt;3.5,"Below 3.5",IF(H711&lt;4,"3.5-3.9",IF(H711&lt;4.5,"4.0-4.4","4.5+"))))</f>
        <v>4.0-4.4</v>
      </c>
    </row>
    <row r="712" customFormat="false" ht="15" hidden="false" customHeight="false" outlineLevel="0" collapsed="false">
      <c r="A712" s="10" t="s">
        <v>1448</v>
      </c>
      <c r="B712" s="10" t="s">
        <v>1449</v>
      </c>
      <c r="C712" s="10" t="s">
        <v>48</v>
      </c>
      <c r="D712" s="10" t="s">
        <v>722</v>
      </c>
      <c r="E712" s="11" t="n">
        <v>2999</v>
      </c>
      <c r="F712" s="11" t="n">
        <v>1299</v>
      </c>
      <c r="G712" s="12" t="n">
        <v>0.57</v>
      </c>
      <c r="H712" s="13" t="n">
        <v>3.8</v>
      </c>
      <c r="I712" s="11" t="n">
        <v>14629</v>
      </c>
      <c r="J712" s="11" t="n">
        <f aca="false">E712-F712</f>
        <v>1700</v>
      </c>
      <c r="K712" s="10" t="str">
        <f aca="false">IF(G712&lt;0.2,"0-19%",IF(G712&lt;0.4,"20-39%",IF(G712&lt;0.6,"40-59%",IF(G712&lt;0.8,"60-79%","80%+"))))</f>
        <v>40-59%</v>
      </c>
      <c r="L712" s="10" t="str">
        <f aca="false">IF(H712="","No rating",IF(H712&lt;3.5,"Below 3.5",IF(H712&lt;4,"3.5-3.9",IF(H712&lt;4.5,"4.0-4.4","4.5+"))))</f>
        <v>3.5-3.9</v>
      </c>
    </row>
    <row r="713" customFormat="false" ht="15" hidden="false" customHeight="false" outlineLevel="0" collapsed="false">
      <c r="A713" s="10" t="s">
        <v>1450</v>
      </c>
      <c r="B713" s="10" t="s">
        <v>1451</v>
      </c>
      <c r="C713" s="10" t="s">
        <v>21</v>
      </c>
      <c r="D713" s="10" t="s">
        <v>22</v>
      </c>
      <c r="E713" s="11" t="n">
        <v>999</v>
      </c>
      <c r="F713" s="11" t="n">
        <v>230</v>
      </c>
      <c r="G713" s="12" t="n">
        <v>0.77</v>
      </c>
      <c r="H713" s="13" t="n">
        <v>4.2</v>
      </c>
      <c r="I713" s="11" t="n">
        <v>1528</v>
      </c>
      <c r="J713" s="11" t="n">
        <f aca="false">E713-F713</f>
        <v>769</v>
      </c>
      <c r="K713" s="10" t="str">
        <f aca="false">IF(G713&lt;0.2,"0-19%",IF(G713&lt;0.4,"20-39%",IF(G713&lt;0.6,"40-59%",IF(G713&lt;0.8,"60-79%","80%+"))))</f>
        <v>60-79%</v>
      </c>
      <c r="L713" s="10" t="str">
        <f aca="false">IF(H713="","No rating",IF(H713&lt;3.5,"Below 3.5",IF(H713&lt;4,"3.5-3.9",IF(H713&lt;4.5,"4.0-4.4","4.5+"))))</f>
        <v>4.0-4.4</v>
      </c>
    </row>
    <row r="714" customFormat="false" ht="15" hidden="false" customHeight="false" outlineLevel="0" collapsed="false">
      <c r="A714" s="10" t="s">
        <v>1452</v>
      </c>
      <c r="B714" s="10" t="s">
        <v>1453</v>
      </c>
      <c r="C714" s="10" t="s">
        <v>48</v>
      </c>
      <c r="D714" s="10" t="s">
        <v>722</v>
      </c>
      <c r="E714" s="11" t="n">
        <v>499</v>
      </c>
      <c r="F714" s="11" t="n">
        <v>119</v>
      </c>
      <c r="G714" s="12" t="n">
        <v>0.76</v>
      </c>
      <c r="H714" s="13" t="n">
        <v>4.3</v>
      </c>
      <c r="I714" s="11" t="n">
        <v>15032</v>
      </c>
      <c r="J714" s="11" t="n">
        <f aca="false">E714-F714</f>
        <v>380</v>
      </c>
      <c r="K714" s="10" t="str">
        <f aca="false">IF(G714&lt;0.2,"0-19%",IF(G714&lt;0.4,"20-39%",IF(G714&lt;0.6,"40-59%",IF(G714&lt;0.8,"60-79%","80%+"))))</f>
        <v>60-79%</v>
      </c>
      <c r="L714" s="10" t="str">
        <f aca="false">IF(H714="","No rating",IF(H714&lt;3.5,"Below 3.5",IF(H714&lt;4,"3.5-3.9",IF(H714&lt;4.5,"4.0-4.4","4.5+"))))</f>
        <v>4.0-4.4</v>
      </c>
    </row>
    <row r="715" customFormat="false" ht="15" hidden="false" customHeight="false" outlineLevel="0" collapsed="false">
      <c r="A715" s="10" t="s">
        <v>1454</v>
      </c>
      <c r="B715" s="10" t="s">
        <v>1455</v>
      </c>
      <c r="C715" s="10" t="s">
        <v>48</v>
      </c>
      <c r="D715" s="10" t="s">
        <v>713</v>
      </c>
      <c r="E715" s="11" t="n">
        <v>800</v>
      </c>
      <c r="F715" s="11" t="n">
        <v>449</v>
      </c>
      <c r="G715" s="12" t="n">
        <v>0.44</v>
      </c>
      <c r="H715" s="13" t="n">
        <v>4.4</v>
      </c>
      <c r="I715" s="11" t="n">
        <v>69585</v>
      </c>
      <c r="J715" s="11" t="n">
        <f aca="false">E715-F715</f>
        <v>351</v>
      </c>
      <c r="K715" s="10" t="str">
        <f aca="false">IF(G715&lt;0.2,"0-19%",IF(G715&lt;0.4,"20-39%",IF(G715&lt;0.6,"40-59%",IF(G715&lt;0.8,"60-79%","80%+"))))</f>
        <v>40-59%</v>
      </c>
      <c r="L715" s="10" t="str">
        <f aca="false">IF(H715="","No rating",IF(H715&lt;3.5,"Below 3.5",IF(H715&lt;4,"3.5-3.9",IF(H715&lt;4.5,"4.0-4.4","4.5+"))))</f>
        <v>4.0-4.4</v>
      </c>
    </row>
    <row r="716" customFormat="false" ht="15" hidden="false" customHeight="false" outlineLevel="0" collapsed="false">
      <c r="A716" s="10" t="s">
        <v>1456</v>
      </c>
      <c r="B716" s="10" t="s">
        <v>1457</v>
      </c>
      <c r="C716" s="10" t="s">
        <v>48</v>
      </c>
      <c r="D716" s="10" t="s">
        <v>700</v>
      </c>
      <c r="E716" s="11" t="n">
        <v>3495</v>
      </c>
      <c r="F716" s="11" t="n">
        <v>1699</v>
      </c>
      <c r="G716" s="12" t="n">
        <v>0.51</v>
      </c>
      <c r="H716" s="13" t="n">
        <v>4.1</v>
      </c>
      <c r="I716" s="11" t="n">
        <v>14371</v>
      </c>
      <c r="J716" s="11" t="n">
        <f aca="false">E716-F716</f>
        <v>1796</v>
      </c>
      <c r="K716" s="10" t="str">
        <f aca="false">IF(G716&lt;0.2,"0-19%",IF(G716&lt;0.4,"20-39%",IF(G716&lt;0.6,"40-59%",IF(G716&lt;0.8,"60-79%","80%+"))))</f>
        <v>40-59%</v>
      </c>
      <c r="L716" s="10" t="str">
        <f aca="false">IF(H716="","No rating",IF(H716&lt;3.5,"Below 3.5",IF(H716&lt;4,"3.5-3.9",IF(H716&lt;4.5,"4.0-4.4","4.5+"))))</f>
        <v>4.0-4.4</v>
      </c>
    </row>
    <row r="717" customFormat="false" ht="15" hidden="false" customHeight="false" outlineLevel="0" collapsed="false">
      <c r="A717" s="10" t="s">
        <v>1458</v>
      </c>
      <c r="B717" s="10" t="s">
        <v>1459</v>
      </c>
      <c r="C717" s="10" t="s">
        <v>1177</v>
      </c>
      <c r="D717" s="10" t="s">
        <v>1178</v>
      </c>
      <c r="E717" s="11" t="n">
        <v>720</v>
      </c>
      <c r="F717" s="11" t="n">
        <v>561</v>
      </c>
      <c r="G717" s="12" t="n">
        <v>0.22</v>
      </c>
      <c r="H717" s="13" t="n">
        <v>4.4</v>
      </c>
      <c r="I717" s="11" t="n">
        <v>3182</v>
      </c>
      <c r="J717" s="11" t="n">
        <f aca="false">E717-F717</f>
        <v>159</v>
      </c>
      <c r="K717" s="10" t="str">
        <f aca="false">IF(G717&lt;0.2,"0-19%",IF(G717&lt;0.4,"20-39%",IF(G717&lt;0.6,"40-59%",IF(G717&lt;0.8,"60-79%","80%+"))))</f>
        <v>20-39%</v>
      </c>
      <c r="L717" s="10" t="str">
        <f aca="false">IF(H717="","No rating",IF(H717&lt;3.5,"Below 3.5",IF(H717&lt;4,"3.5-3.9",IF(H717&lt;4.5,"4.0-4.4","4.5+"))))</f>
        <v>4.0-4.4</v>
      </c>
    </row>
    <row r="718" customFormat="false" ht="15" hidden="false" customHeight="false" outlineLevel="0" collapsed="false">
      <c r="A718" s="10" t="s">
        <v>1460</v>
      </c>
      <c r="B718" s="10" t="s">
        <v>1461</v>
      </c>
      <c r="C718" s="10" t="s">
        <v>21</v>
      </c>
      <c r="D718" s="10" t="s">
        <v>22</v>
      </c>
      <c r="E718" s="11" t="n">
        <v>590</v>
      </c>
      <c r="F718" s="11" t="n">
        <v>289</v>
      </c>
      <c r="G718" s="12" t="n">
        <v>0.51</v>
      </c>
      <c r="H718" s="13" t="n">
        <v>4.4</v>
      </c>
      <c r="I718" s="11" t="n">
        <v>25886</v>
      </c>
      <c r="J718" s="11" t="n">
        <f aca="false">E718-F718</f>
        <v>301</v>
      </c>
      <c r="K718" s="10" t="str">
        <f aca="false">IF(G718&lt;0.2,"0-19%",IF(G718&lt;0.4,"20-39%",IF(G718&lt;0.6,"40-59%",IF(G718&lt;0.8,"60-79%","80%+"))))</f>
        <v>40-59%</v>
      </c>
      <c r="L718" s="10" t="str">
        <f aca="false">IF(H718="","No rating",IF(H718&lt;3.5,"Below 3.5",IF(H718&lt;4,"3.5-3.9",IF(H718&lt;4.5,"4.0-4.4","4.5+"))))</f>
        <v>4.0-4.4</v>
      </c>
    </row>
    <row r="719" customFormat="false" ht="15" hidden="false" customHeight="false" outlineLevel="0" collapsed="false">
      <c r="A719" s="10" t="s">
        <v>1462</v>
      </c>
      <c r="B719" s="10" t="s">
        <v>1463</v>
      </c>
      <c r="C719" s="10" t="s">
        <v>21</v>
      </c>
      <c r="D719" s="10" t="s">
        <v>22</v>
      </c>
      <c r="E719" s="11" t="n">
        <v>1999</v>
      </c>
      <c r="F719" s="11" t="n">
        <v>599</v>
      </c>
      <c r="G719" s="12" t="n">
        <v>0.7</v>
      </c>
      <c r="H719" s="13" t="n">
        <v>4.4</v>
      </c>
      <c r="I719" s="11" t="n">
        <v>4736</v>
      </c>
      <c r="J719" s="11" t="n">
        <f aca="false">E719-F719</f>
        <v>1400</v>
      </c>
      <c r="K719" s="10" t="str">
        <f aca="false">IF(G719&lt;0.2,"0-19%",IF(G719&lt;0.4,"20-39%",IF(G719&lt;0.6,"40-59%",IF(G719&lt;0.8,"60-79%","80%+"))))</f>
        <v>60-79%</v>
      </c>
      <c r="L719" s="10" t="str">
        <f aca="false">IF(H719="","No rating",IF(H719&lt;3.5,"Below 3.5",IF(H719&lt;4,"3.5-3.9",IF(H719&lt;4.5,"4.0-4.4","4.5+"))))</f>
        <v>4.0-4.4</v>
      </c>
    </row>
    <row r="720" customFormat="false" ht="15" hidden="false" customHeight="false" outlineLevel="0" collapsed="false">
      <c r="A720" s="10" t="s">
        <v>1464</v>
      </c>
      <c r="B720" s="10" t="s">
        <v>1465</v>
      </c>
      <c r="C720" s="10" t="s">
        <v>21</v>
      </c>
      <c r="D720" s="10" t="s">
        <v>1135</v>
      </c>
      <c r="E720" s="11" t="n">
        <v>7350</v>
      </c>
      <c r="F720" s="11" t="n">
        <v>5599</v>
      </c>
      <c r="G720" s="12" t="n">
        <v>0.24</v>
      </c>
      <c r="H720" s="13" t="n">
        <v>4.4</v>
      </c>
      <c r="I720" s="11" t="n">
        <v>73005</v>
      </c>
      <c r="J720" s="11" t="n">
        <f aca="false">E720-F720</f>
        <v>1751</v>
      </c>
      <c r="K720" s="10" t="str">
        <f aca="false">IF(G720&lt;0.2,"0-19%",IF(G720&lt;0.4,"20-39%",IF(G720&lt;0.6,"40-59%",IF(G720&lt;0.8,"60-79%","80%+"))))</f>
        <v>20-39%</v>
      </c>
      <c r="L720" s="10" t="str">
        <f aca="false">IF(H720="","No rating",IF(H720&lt;3.5,"Below 3.5",IF(H720&lt;4,"3.5-3.9",IF(H720&lt;4.5,"4.0-4.4","4.5+"))))</f>
        <v>4.0-4.4</v>
      </c>
    </row>
    <row r="721" customFormat="false" ht="15" hidden="false" customHeight="false" outlineLevel="0" collapsed="false">
      <c r="A721" s="10" t="s">
        <v>1466</v>
      </c>
      <c r="B721" s="10" t="s">
        <v>1467</v>
      </c>
      <c r="C721" s="10" t="s">
        <v>21</v>
      </c>
      <c r="D721" s="10" t="s">
        <v>22</v>
      </c>
      <c r="E721" s="11" t="n">
        <v>2595</v>
      </c>
      <c r="F721" s="11" t="n">
        <v>1990</v>
      </c>
      <c r="G721" s="12" t="n">
        <v>0.23</v>
      </c>
      <c r="H721" s="13" t="n">
        <v>4.3</v>
      </c>
      <c r="I721" s="11" t="n">
        <v>20398</v>
      </c>
      <c r="J721" s="11" t="n">
        <f aca="false">E721-F721</f>
        <v>605</v>
      </c>
      <c r="K721" s="10" t="str">
        <f aca="false">IF(G721&lt;0.2,"0-19%",IF(G721&lt;0.4,"20-39%",IF(G721&lt;0.6,"40-59%",IF(G721&lt;0.8,"60-79%","80%+"))))</f>
        <v>20-39%</v>
      </c>
      <c r="L721" s="10" t="str">
        <f aca="false">IF(H721="","No rating",IF(H721&lt;3.5,"Below 3.5",IF(H721&lt;4,"3.5-3.9",IF(H721&lt;4.5,"4.0-4.4","4.5+"))))</f>
        <v>4.0-4.4</v>
      </c>
    </row>
    <row r="722" customFormat="false" ht="15" hidden="false" customHeight="false" outlineLevel="0" collapsed="false">
      <c r="A722" s="10" t="s">
        <v>1468</v>
      </c>
      <c r="B722" s="10" t="s">
        <v>1469</v>
      </c>
      <c r="C722" s="10" t="s">
        <v>21</v>
      </c>
      <c r="D722" s="10" t="s">
        <v>22</v>
      </c>
      <c r="E722" s="11" t="n">
        <v>799</v>
      </c>
      <c r="F722" s="11" t="n">
        <v>499</v>
      </c>
      <c r="G722" s="12" t="n">
        <v>0.38</v>
      </c>
      <c r="H722" s="13" t="n">
        <v>4.3</v>
      </c>
      <c r="I722" s="11" t="n">
        <v>2125</v>
      </c>
      <c r="J722" s="11" t="n">
        <f aca="false">E722-F722</f>
        <v>300</v>
      </c>
      <c r="K722" s="10" t="str">
        <f aca="false">IF(G722&lt;0.2,"0-19%",IF(G722&lt;0.4,"20-39%",IF(G722&lt;0.6,"40-59%",IF(G722&lt;0.8,"60-79%","80%+"))))</f>
        <v>20-39%</v>
      </c>
      <c r="L722" s="10" t="str">
        <f aca="false">IF(H722="","No rating",IF(H722&lt;3.5,"Below 3.5",IF(H722&lt;4,"3.5-3.9",IF(H722&lt;4.5,"4.0-4.4","4.5+"))))</f>
        <v>4.0-4.4</v>
      </c>
    </row>
    <row r="723" customFormat="false" ht="15" hidden="false" customHeight="false" outlineLevel="0" collapsed="false">
      <c r="A723" s="10" t="s">
        <v>1470</v>
      </c>
      <c r="B723" s="10" t="s">
        <v>1471</v>
      </c>
      <c r="C723" s="10" t="s">
        <v>21</v>
      </c>
      <c r="D723" s="10" t="s">
        <v>22</v>
      </c>
      <c r="E723" s="11" t="n">
        <v>999</v>
      </c>
      <c r="F723" s="11" t="n">
        <v>449</v>
      </c>
      <c r="G723" s="12" t="n">
        <v>0.55</v>
      </c>
      <c r="H723" s="13" t="n">
        <v>4.3</v>
      </c>
      <c r="I723" s="11" t="n">
        <v>11330</v>
      </c>
      <c r="J723" s="11" t="n">
        <f aca="false">E723-F723</f>
        <v>550</v>
      </c>
      <c r="K723" s="10" t="str">
        <f aca="false">IF(G723&lt;0.2,"0-19%",IF(G723&lt;0.4,"20-39%",IF(G723&lt;0.6,"40-59%",IF(G723&lt;0.8,"60-79%","80%+"))))</f>
        <v>40-59%</v>
      </c>
      <c r="L723" s="10" t="str">
        <f aca="false">IF(H723="","No rating",IF(H723&lt;3.5,"Below 3.5",IF(H723&lt;4,"3.5-3.9",IF(H723&lt;4.5,"4.0-4.4","4.5+"))))</f>
        <v>4.0-4.4</v>
      </c>
    </row>
    <row r="724" customFormat="false" ht="15" hidden="false" customHeight="false" outlineLevel="0" collapsed="false">
      <c r="A724" s="10" t="s">
        <v>1472</v>
      </c>
      <c r="B724" s="10" t="s">
        <v>1473</v>
      </c>
      <c r="C724" s="10" t="s">
        <v>21</v>
      </c>
      <c r="D724" s="10" t="s">
        <v>22</v>
      </c>
      <c r="E724" s="11" t="n">
        <v>1999</v>
      </c>
      <c r="F724" s="11" t="n">
        <v>999</v>
      </c>
      <c r="G724" s="12" t="n">
        <v>0.5</v>
      </c>
      <c r="H724" s="13" t="n">
        <v>4.2</v>
      </c>
      <c r="I724" s="11" t="n">
        <v>27441</v>
      </c>
      <c r="J724" s="11" t="n">
        <f aca="false">E724-F724</f>
        <v>1000</v>
      </c>
      <c r="K724" s="10" t="str">
        <f aca="false">IF(G724&lt;0.2,"0-19%",IF(G724&lt;0.4,"20-39%",IF(G724&lt;0.6,"40-59%",IF(G724&lt;0.8,"60-79%","80%+"))))</f>
        <v>40-59%</v>
      </c>
      <c r="L724" s="10" t="str">
        <f aca="false">IF(H724="","No rating",IF(H724&lt;3.5,"Below 3.5",IF(H724&lt;4,"3.5-3.9",IF(H724&lt;4.5,"4.0-4.4","4.5+"))))</f>
        <v>4.0-4.4</v>
      </c>
    </row>
    <row r="725" customFormat="false" ht="15" hidden="false" customHeight="false" outlineLevel="0" collapsed="false">
      <c r="A725" s="10" t="s">
        <v>1474</v>
      </c>
      <c r="B725" s="10" t="s">
        <v>1475</v>
      </c>
      <c r="C725" s="10" t="s">
        <v>21</v>
      </c>
      <c r="D725" s="10" t="s">
        <v>22</v>
      </c>
      <c r="E725" s="11" t="n">
        <v>299</v>
      </c>
      <c r="F725" s="11" t="n">
        <v>69</v>
      </c>
      <c r="G725" s="12" t="n">
        <v>0.77</v>
      </c>
      <c r="H725" s="13" t="n">
        <v>4.3</v>
      </c>
      <c r="I725" s="11" t="n">
        <v>255</v>
      </c>
      <c r="J725" s="11" t="n">
        <f aca="false">E725-F725</f>
        <v>230</v>
      </c>
      <c r="K725" s="10" t="str">
        <f aca="false">IF(G725&lt;0.2,"0-19%",IF(G725&lt;0.4,"20-39%",IF(G725&lt;0.6,"40-59%",IF(G725&lt;0.8,"60-79%","80%+"))))</f>
        <v>60-79%</v>
      </c>
      <c r="L725" s="10" t="str">
        <f aca="false">IF(H725="","No rating",IF(H725&lt;3.5,"Below 3.5",IF(H725&lt;4,"3.5-3.9",IF(H725&lt;4.5,"4.0-4.4","4.5+"))))</f>
        <v>4.0-4.4</v>
      </c>
    </row>
    <row r="726" customFormat="false" ht="15" hidden="false" customHeight="false" outlineLevel="0" collapsed="false">
      <c r="A726" s="10" t="s">
        <v>1476</v>
      </c>
      <c r="B726" s="10" t="s">
        <v>1477</v>
      </c>
      <c r="C726" s="10" t="s">
        <v>21</v>
      </c>
      <c r="D726" s="10" t="s">
        <v>22</v>
      </c>
      <c r="E726" s="11" t="n">
        <v>1499</v>
      </c>
      <c r="F726" s="11" t="n">
        <v>899</v>
      </c>
      <c r="G726" s="12" t="n">
        <v>0.4</v>
      </c>
      <c r="H726" s="13" t="n">
        <v>4.2</v>
      </c>
      <c r="I726" s="11" t="n">
        <v>23174</v>
      </c>
      <c r="J726" s="11" t="n">
        <f aca="false">E726-F726</f>
        <v>600</v>
      </c>
      <c r="K726" s="10" t="str">
        <f aca="false">IF(G726&lt;0.2,"0-19%",IF(G726&lt;0.4,"20-39%",IF(G726&lt;0.6,"40-59%",IF(G726&lt;0.8,"60-79%","80%+"))))</f>
        <v>40-59%</v>
      </c>
      <c r="L726" s="10" t="str">
        <f aca="false">IF(H726="","No rating",IF(H726&lt;3.5,"Below 3.5",IF(H726&lt;4,"3.5-3.9",IF(H726&lt;4.5,"4.0-4.4","4.5+"))))</f>
        <v>4.0-4.4</v>
      </c>
    </row>
    <row r="727" customFormat="false" ht="15" hidden="false" customHeight="false" outlineLevel="0" collapsed="false">
      <c r="A727" s="10" t="s">
        <v>1478</v>
      </c>
      <c r="B727" s="10" t="s">
        <v>1479</v>
      </c>
      <c r="C727" s="10" t="s">
        <v>1170</v>
      </c>
      <c r="D727" s="10" t="s">
        <v>1171</v>
      </c>
      <c r="E727" s="11" t="n">
        <v>699</v>
      </c>
      <c r="F727" s="11" t="n">
        <v>478</v>
      </c>
      <c r="G727" s="12" t="n">
        <v>0.32</v>
      </c>
      <c r="H727" s="13" t="n">
        <v>3.8</v>
      </c>
      <c r="I727" s="11" t="n">
        <v>20218</v>
      </c>
      <c r="J727" s="11" t="n">
        <f aca="false">E727-F727</f>
        <v>221</v>
      </c>
      <c r="K727" s="10" t="str">
        <f aca="false">IF(G727&lt;0.2,"0-19%",IF(G727&lt;0.4,"20-39%",IF(G727&lt;0.6,"40-59%",IF(G727&lt;0.8,"60-79%","80%+"))))</f>
        <v>20-39%</v>
      </c>
      <c r="L727" s="10" t="str">
        <f aca="false">IF(H727="","No rating",IF(H727&lt;3.5,"Below 3.5",IF(H727&lt;4,"3.5-3.9",IF(H727&lt;4.5,"4.0-4.4","4.5+"))))</f>
        <v>3.5-3.9</v>
      </c>
    </row>
    <row r="728" customFormat="false" ht="15" hidden="false" customHeight="false" outlineLevel="0" collapsed="false">
      <c r="A728" s="10" t="s">
        <v>1480</v>
      </c>
      <c r="B728" s="10" t="s">
        <v>1481</v>
      </c>
      <c r="C728" s="10" t="s">
        <v>21</v>
      </c>
      <c r="D728" s="10" t="s">
        <v>22</v>
      </c>
      <c r="E728" s="11" t="n">
        <v>2490</v>
      </c>
      <c r="F728" s="11" t="n">
        <v>1399</v>
      </c>
      <c r="G728" s="12" t="n">
        <v>0.44</v>
      </c>
      <c r="H728" s="13" t="n">
        <v>4.3</v>
      </c>
      <c r="I728" s="11" t="n">
        <v>11074</v>
      </c>
      <c r="J728" s="11" t="n">
        <f aca="false">E728-F728</f>
        <v>1091</v>
      </c>
      <c r="K728" s="10" t="str">
        <f aca="false">IF(G728&lt;0.2,"0-19%",IF(G728&lt;0.4,"20-39%",IF(G728&lt;0.6,"40-59%",IF(G728&lt;0.8,"60-79%","80%+"))))</f>
        <v>40-59%</v>
      </c>
      <c r="L728" s="10" t="str">
        <f aca="false">IF(H728="","No rating",IF(H728&lt;3.5,"Below 3.5",IF(H728&lt;4,"3.5-3.9",IF(H728&lt;4.5,"4.0-4.4","4.5+"))))</f>
        <v>4.0-4.4</v>
      </c>
    </row>
    <row r="729" customFormat="false" ht="15" hidden="false" customHeight="false" outlineLevel="0" collapsed="false">
      <c r="A729" s="10" t="s">
        <v>1482</v>
      </c>
      <c r="B729" s="10" t="s">
        <v>1483</v>
      </c>
      <c r="C729" s="10" t="s">
        <v>21</v>
      </c>
      <c r="D729" s="10" t="s">
        <v>22</v>
      </c>
      <c r="E729" s="11" t="n">
        <v>499</v>
      </c>
      <c r="F729" s="11" t="n">
        <v>149</v>
      </c>
      <c r="G729" s="12" t="n">
        <v>0.7</v>
      </c>
      <c r="H729" s="13" t="n">
        <v>4.1</v>
      </c>
      <c r="I729" s="11" t="n">
        <v>25607</v>
      </c>
      <c r="J729" s="11" t="n">
        <f aca="false">E729-F729</f>
        <v>350</v>
      </c>
      <c r="K729" s="10" t="str">
        <f aca="false">IF(G729&lt;0.2,"0-19%",IF(G729&lt;0.4,"20-39%",IF(G729&lt;0.6,"40-59%",IF(G729&lt;0.8,"60-79%","80%+"))))</f>
        <v>60-79%</v>
      </c>
      <c r="L729" s="10" t="str">
        <f aca="false">IF(H729="","No rating",IF(H729&lt;3.5,"Below 3.5",IF(H729&lt;4,"3.5-3.9",IF(H729&lt;4.5,"4.0-4.4","4.5+"))))</f>
        <v>4.0-4.4</v>
      </c>
    </row>
    <row r="730" customFormat="false" ht="15" hidden="false" customHeight="false" outlineLevel="0" collapsed="false">
      <c r="A730" s="10" t="s">
        <v>1484</v>
      </c>
      <c r="B730" s="10" t="s">
        <v>1485</v>
      </c>
      <c r="C730" s="10" t="s">
        <v>48</v>
      </c>
      <c r="D730" s="10" t="s">
        <v>290</v>
      </c>
      <c r="E730" s="11" t="n">
        <v>4990</v>
      </c>
      <c r="F730" s="11" t="n">
        <v>1799</v>
      </c>
      <c r="G730" s="12" t="n">
        <v>0.64</v>
      </c>
      <c r="H730" s="13" t="n">
        <v>4.2</v>
      </c>
      <c r="I730" s="11" t="n">
        <v>41226</v>
      </c>
      <c r="J730" s="11" t="n">
        <f aca="false">E730-F730</f>
        <v>3191</v>
      </c>
      <c r="K730" s="10" t="str">
        <f aca="false">IF(G730&lt;0.2,"0-19%",IF(G730&lt;0.4,"20-39%",IF(G730&lt;0.6,"40-59%",IF(G730&lt;0.8,"60-79%","80%+"))))</f>
        <v>60-79%</v>
      </c>
      <c r="L730" s="10" t="str">
        <f aca="false">IF(H730="","No rating",IF(H730&lt;3.5,"Below 3.5",IF(H730&lt;4,"3.5-3.9",IF(H730&lt;4.5,"4.0-4.4","4.5+"))))</f>
        <v>4.0-4.4</v>
      </c>
    </row>
    <row r="731" customFormat="false" ht="15" hidden="false" customHeight="false" outlineLevel="0" collapsed="false">
      <c r="A731" s="10" t="s">
        <v>1486</v>
      </c>
      <c r="B731" s="10" t="s">
        <v>1487</v>
      </c>
      <c r="C731" s="10" t="s">
        <v>1170</v>
      </c>
      <c r="D731" s="10" t="s">
        <v>1488</v>
      </c>
      <c r="E731" s="11" t="n">
        <v>999</v>
      </c>
      <c r="F731" s="11" t="n">
        <v>425</v>
      </c>
      <c r="G731" s="12" t="n">
        <v>0.57</v>
      </c>
      <c r="H731" s="13" t="n">
        <v>4</v>
      </c>
      <c r="I731" s="11" t="n">
        <v>2581</v>
      </c>
      <c r="J731" s="11" t="n">
        <f aca="false">E731-F731</f>
        <v>574</v>
      </c>
      <c r="K731" s="10" t="str">
        <f aca="false">IF(G731&lt;0.2,"0-19%",IF(G731&lt;0.4,"20-39%",IF(G731&lt;0.6,"40-59%",IF(G731&lt;0.8,"60-79%","80%+"))))</f>
        <v>40-59%</v>
      </c>
      <c r="L731" s="10" t="str">
        <f aca="false">IF(H731="","No rating",IF(H731&lt;3.5,"Below 3.5",IF(H731&lt;4,"3.5-3.9",IF(H731&lt;4.5,"4.0-4.4","4.5+"))))</f>
        <v>4.0-4.4</v>
      </c>
    </row>
    <row r="732" customFormat="false" ht="15" hidden="false" customHeight="false" outlineLevel="0" collapsed="false">
      <c r="A732" s="10" t="s">
        <v>1489</v>
      </c>
      <c r="B732" s="10" t="s">
        <v>1490</v>
      </c>
      <c r="C732" s="10" t="s">
        <v>48</v>
      </c>
      <c r="D732" s="10" t="s">
        <v>290</v>
      </c>
      <c r="E732" s="11" t="n">
        <v>2490</v>
      </c>
      <c r="F732" s="11" t="n">
        <v>999</v>
      </c>
      <c r="G732" s="12" t="n">
        <v>0.6</v>
      </c>
      <c r="H732" s="13" t="n">
        <v>4.1</v>
      </c>
      <c r="I732" s="11" t="n">
        <v>18331</v>
      </c>
      <c r="J732" s="11" t="n">
        <f aca="false">E732-F732</f>
        <v>1491</v>
      </c>
      <c r="K732" s="10" t="str">
        <f aca="false">IF(G732&lt;0.2,"0-19%",IF(G732&lt;0.4,"20-39%",IF(G732&lt;0.6,"40-59%",IF(G732&lt;0.8,"60-79%","80%+"))))</f>
        <v>60-79%</v>
      </c>
      <c r="L732" s="10" t="str">
        <f aca="false">IF(H732="","No rating",IF(H732&lt;3.5,"Below 3.5",IF(H732&lt;4,"3.5-3.9",IF(H732&lt;4.5,"4.0-4.4","4.5+"))))</f>
        <v>4.0-4.4</v>
      </c>
    </row>
    <row r="733" customFormat="false" ht="15" hidden="false" customHeight="false" outlineLevel="0" collapsed="false">
      <c r="A733" s="10" t="s">
        <v>1491</v>
      </c>
      <c r="B733" s="10" t="s">
        <v>1492</v>
      </c>
      <c r="C733" s="10" t="s">
        <v>21</v>
      </c>
      <c r="D733" s="10" t="s">
        <v>22</v>
      </c>
      <c r="E733" s="11" t="n">
        <v>999</v>
      </c>
      <c r="F733" s="11" t="n">
        <v>378</v>
      </c>
      <c r="G733" s="12" t="n">
        <v>0.62</v>
      </c>
      <c r="H733" s="13" t="n">
        <v>4.1</v>
      </c>
      <c r="I733" s="11" t="n">
        <v>1779</v>
      </c>
      <c r="J733" s="11" t="n">
        <f aca="false">E733-F733</f>
        <v>621</v>
      </c>
      <c r="K733" s="10" t="str">
        <f aca="false">IF(G733&lt;0.2,"0-19%",IF(G733&lt;0.4,"20-39%",IF(G733&lt;0.6,"40-59%",IF(G733&lt;0.8,"60-79%","80%+"))))</f>
        <v>60-79%</v>
      </c>
      <c r="L733" s="10" t="str">
        <f aca="false">IF(H733="","No rating",IF(H733&lt;3.5,"Below 3.5",IF(H733&lt;4,"3.5-3.9",IF(H733&lt;4.5,"4.0-4.4","4.5+"))))</f>
        <v>4.0-4.4</v>
      </c>
    </row>
    <row r="734" customFormat="false" ht="15" hidden="false" customHeight="false" outlineLevel="0" collapsed="false">
      <c r="A734" s="10" t="s">
        <v>1493</v>
      </c>
      <c r="B734" s="10" t="s">
        <v>1494</v>
      </c>
      <c r="C734" s="10" t="s">
        <v>1177</v>
      </c>
      <c r="D734" s="10" t="s">
        <v>1178</v>
      </c>
      <c r="E734" s="11" t="n">
        <v>99</v>
      </c>
      <c r="F734" s="11" t="n">
        <v>99</v>
      </c>
      <c r="G734" s="12" t="n">
        <v>0</v>
      </c>
      <c r="H734" s="13" t="n">
        <v>4.3</v>
      </c>
      <c r="I734" s="11" t="n">
        <v>388</v>
      </c>
      <c r="J734" s="11" t="n">
        <f aca="false">E734-F734</f>
        <v>0</v>
      </c>
      <c r="K734" s="10" t="str">
        <f aca="false">IF(G734&lt;0.2,"0-19%",IF(G734&lt;0.4,"20-39%",IF(G734&lt;0.6,"40-59%",IF(G734&lt;0.8,"60-79%","80%+"))))</f>
        <v>0-19%</v>
      </c>
      <c r="L734" s="10" t="str">
        <f aca="false">IF(H734="","No rating",IF(H734&lt;3.5,"Below 3.5",IF(H734&lt;4,"3.5-3.9",IF(H734&lt;4.5,"4.0-4.4","4.5+"))))</f>
        <v>4.0-4.4</v>
      </c>
    </row>
    <row r="735" customFormat="false" ht="15" hidden="false" customHeight="false" outlineLevel="0" collapsed="false">
      <c r="A735" s="10" t="s">
        <v>1495</v>
      </c>
      <c r="B735" s="10" t="s">
        <v>1496</v>
      </c>
      <c r="C735" s="10" t="s">
        <v>21</v>
      </c>
      <c r="D735" s="10" t="s">
        <v>39</v>
      </c>
      <c r="E735" s="11" t="n">
        <v>2999</v>
      </c>
      <c r="F735" s="11" t="n">
        <v>1499</v>
      </c>
      <c r="G735" s="12" t="n">
        <v>0.5</v>
      </c>
      <c r="H735" s="13" t="n">
        <v>4.5</v>
      </c>
      <c r="I735" s="11" t="n">
        <v>8656</v>
      </c>
      <c r="J735" s="11" t="n">
        <f aca="false">E735-F735</f>
        <v>1500</v>
      </c>
      <c r="K735" s="10" t="str">
        <f aca="false">IF(G735&lt;0.2,"0-19%",IF(G735&lt;0.4,"20-39%",IF(G735&lt;0.6,"40-59%",IF(G735&lt;0.8,"60-79%","80%+"))))</f>
        <v>40-59%</v>
      </c>
      <c r="L735" s="10" t="str">
        <f aca="false">IF(H735="","No rating",IF(H735&lt;3.5,"Below 3.5",IF(H735&lt;4,"3.5-3.9",IF(H735&lt;4.5,"4.0-4.4","4.5+"))))</f>
        <v>4.5+</v>
      </c>
    </row>
    <row r="736" customFormat="false" ht="15" hidden="false" customHeight="false" outlineLevel="0" collapsed="false">
      <c r="A736" s="10" t="s">
        <v>1497</v>
      </c>
      <c r="B736" s="10" t="s">
        <v>1498</v>
      </c>
      <c r="C736" s="10" t="s">
        <v>21</v>
      </c>
      <c r="D736" s="10" t="s">
        <v>1433</v>
      </c>
      <c r="E736" s="11" t="n">
        <v>3100</v>
      </c>
      <c r="F736" s="11" t="n">
        <v>1815</v>
      </c>
      <c r="G736" s="12" t="n">
        <v>0.41</v>
      </c>
      <c r="H736" s="13" t="n">
        <v>4.5</v>
      </c>
      <c r="I736" s="11" t="n">
        <v>92925</v>
      </c>
      <c r="J736" s="11" t="n">
        <f aca="false">E736-F736</f>
        <v>1285</v>
      </c>
      <c r="K736" s="10" t="str">
        <f aca="false">IF(G736&lt;0.2,"0-19%",IF(G736&lt;0.4,"20-39%",IF(G736&lt;0.6,"40-59%",IF(G736&lt;0.8,"60-79%","80%+"))))</f>
        <v>40-59%</v>
      </c>
      <c r="L736" s="10" t="str">
        <f aca="false">IF(H736="","No rating",IF(H736&lt;3.5,"Below 3.5",IF(H736&lt;4,"3.5-3.9",IF(H736&lt;4.5,"4.0-4.4","4.5+"))))</f>
        <v>4.5+</v>
      </c>
    </row>
    <row r="737" customFormat="false" ht="15" hidden="false" customHeight="false" outlineLevel="0" collapsed="false">
      <c r="A737" s="10" t="s">
        <v>1499</v>
      </c>
      <c r="B737" s="10" t="s">
        <v>1500</v>
      </c>
      <c r="C737" s="10" t="s">
        <v>1177</v>
      </c>
      <c r="D737" s="10" t="s">
        <v>1178</v>
      </c>
      <c r="E737" s="11" t="n">
        <v>75</v>
      </c>
      <c r="F737" s="11" t="n">
        <v>67</v>
      </c>
      <c r="G737" s="12" t="n">
        <v>0.11</v>
      </c>
      <c r="H737" s="13" t="n">
        <v>4.1</v>
      </c>
      <c r="I737" s="11" t="n">
        <v>1269</v>
      </c>
      <c r="J737" s="11" t="n">
        <f aca="false">E737-F737</f>
        <v>8</v>
      </c>
      <c r="K737" s="10" t="str">
        <f aca="false">IF(G737&lt;0.2,"0-19%",IF(G737&lt;0.4,"20-39%",IF(G737&lt;0.6,"40-59%",IF(G737&lt;0.8,"60-79%","80%+"))))</f>
        <v>0-19%</v>
      </c>
      <c r="L737" s="10" t="str">
        <f aca="false">IF(H737="","No rating",IF(H737&lt;3.5,"Below 3.5",IF(H737&lt;4,"3.5-3.9",IF(H737&lt;4.5,"4.0-4.4","4.5+"))))</f>
        <v>4.0-4.4</v>
      </c>
    </row>
    <row r="738" customFormat="false" ht="15" hidden="false" customHeight="false" outlineLevel="0" collapsed="false">
      <c r="A738" s="10" t="s">
        <v>1501</v>
      </c>
      <c r="B738" s="10" t="s">
        <v>1502</v>
      </c>
      <c r="C738" s="10" t="s">
        <v>21</v>
      </c>
      <c r="D738" s="10" t="s">
        <v>22</v>
      </c>
      <c r="E738" s="11" t="n">
        <v>2699</v>
      </c>
      <c r="F738" s="11" t="n">
        <v>1889</v>
      </c>
      <c r="G738" s="12" t="n">
        <v>0.3</v>
      </c>
      <c r="H738" s="13" t="n">
        <v>4.3</v>
      </c>
      <c r="I738" s="11" t="n">
        <v>17394</v>
      </c>
      <c r="J738" s="11" t="n">
        <f aca="false">E738-F738</f>
        <v>810</v>
      </c>
      <c r="K738" s="10" t="str">
        <f aca="false">IF(G738&lt;0.2,"0-19%",IF(G738&lt;0.4,"20-39%",IF(G738&lt;0.6,"40-59%",IF(G738&lt;0.8,"60-79%","80%+"))))</f>
        <v>20-39%</v>
      </c>
      <c r="L738" s="10" t="str">
        <f aca="false">IF(H738="","No rating",IF(H738&lt;3.5,"Below 3.5",IF(H738&lt;4,"3.5-3.9",IF(H738&lt;4.5,"4.0-4.4","4.5+"))))</f>
        <v>4.0-4.4</v>
      </c>
    </row>
    <row r="739" customFormat="false" ht="15" hidden="false" customHeight="false" outlineLevel="0" collapsed="false">
      <c r="A739" s="10" t="s">
        <v>1503</v>
      </c>
      <c r="B739" s="10" t="s">
        <v>1504</v>
      </c>
      <c r="C739" s="10" t="s">
        <v>48</v>
      </c>
      <c r="D739" s="10" t="s">
        <v>722</v>
      </c>
      <c r="E739" s="11" t="n">
        <v>1499</v>
      </c>
      <c r="F739" s="11" t="n">
        <v>499</v>
      </c>
      <c r="G739" s="12" t="n">
        <v>0.67</v>
      </c>
      <c r="H739" s="13" t="n">
        <v>3.6</v>
      </c>
      <c r="I739" s="11" t="n">
        <v>9169</v>
      </c>
      <c r="J739" s="11" t="n">
        <f aca="false">E739-F739</f>
        <v>1000</v>
      </c>
      <c r="K739" s="10" t="str">
        <f aca="false">IF(G739&lt;0.2,"0-19%",IF(G739&lt;0.4,"20-39%",IF(G739&lt;0.6,"40-59%",IF(G739&lt;0.8,"60-79%","80%+"))))</f>
        <v>60-79%</v>
      </c>
      <c r="L739" s="10" t="str">
        <f aca="false">IF(H739="","No rating",IF(H739&lt;3.5,"Below 3.5",IF(H739&lt;4,"3.5-3.9",IF(H739&lt;4.5,"4.0-4.4","4.5+"))))</f>
        <v>3.5-3.9</v>
      </c>
    </row>
    <row r="740" customFormat="false" ht="15" hidden="false" customHeight="false" outlineLevel="0" collapsed="false">
      <c r="A740" s="10" t="s">
        <v>1505</v>
      </c>
      <c r="B740" s="10" t="s">
        <v>1506</v>
      </c>
      <c r="C740" s="10" t="s">
        <v>21</v>
      </c>
      <c r="D740" s="10" t="s">
        <v>22</v>
      </c>
      <c r="E740" s="11" t="n">
        <v>999</v>
      </c>
      <c r="F740" s="11" t="n">
        <v>499</v>
      </c>
      <c r="G740" s="12" t="n">
        <v>0.5</v>
      </c>
      <c r="H740" s="13" t="n">
        <v>4.4</v>
      </c>
      <c r="I740" s="11" t="n">
        <v>1030</v>
      </c>
      <c r="J740" s="11" t="n">
        <f aca="false">E740-F740</f>
        <v>500</v>
      </c>
      <c r="K740" s="10" t="str">
        <f aca="false">IF(G740&lt;0.2,"0-19%",IF(G740&lt;0.4,"20-39%",IF(G740&lt;0.6,"40-59%",IF(G740&lt;0.8,"60-79%","80%+"))))</f>
        <v>40-59%</v>
      </c>
      <c r="L740" s="10" t="str">
        <f aca="false">IF(H740="","No rating",IF(H740&lt;3.5,"Below 3.5",IF(H740&lt;4,"3.5-3.9",IF(H740&lt;4.5,"4.0-4.4","4.5+"))))</f>
        <v>4.0-4.4</v>
      </c>
    </row>
    <row r="741" customFormat="false" ht="15" hidden="false" customHeight="false" outlineLevel="0" collapsed="false">
      <c r="A741" s="10" t="s">
        <v>1507</v>
      </c>
      <c r="B741" s="10" t="s">
        <v>1508</v>
      </c>
      <c r="C741" s="10" t="s">
        <v>21</v>
      </c>
      <c r="D741" s="10" t="s">
        <v>1135</v>
      </c>
      <c r="E741" s="11" t="n">
        <v>7999</v>
      </c>
      <c r="F741" s="11" t="n">
        <v>5799</v>
      </c>
      <c r="G741" s="12" t="n">
        <v>0.28</v>
      </c>
      <c r="H741" s="13" t="n">
        <v>4.5</v>
      </c>
      <c r="I741" s="11" t="n">
        <v>50273</v>
      </c>
      <c r="J741" s="11" t="n">
        <f aca="false">E741-F741</f>
        <v>2200</v>
      </c>
      <c r="K741" s="10" t="str">
        <f aca="false">IF(G741&lt;0.2,"0-19%",IF(G741&lt;0.4,"20-39%",IF(G741&lt;0.6,"40-59%",IF(G741&lt;0.8,"60-79%","80%+"))))</f>
        <v>20-39%</v>
      </c>
      <c r="L741" s="10" t="str">
        <f aca="false">IF(H741="","No rating",IF(H741&lt;3.5,"Below 3.5",IF(H741&lt;4,"3.5-3.9",IF(H741&lt;4.5,"4.0-4.4","4.5+"))))</f>
        <v>4.5+</v>
      </c>
    </row>
    <row r="742" customFormat="false" ht="15" hidden="false" customHeight="false" outlineLevel="0" collapsed="false">
      <c r="A742" s="10" t="s">
        <v>1509</v>
      </c>
      <c r="B742" s="10" t="s">
        <v>1510</v>
      </c>
      <c r="C742" s="10" t="s">
        <v>48</v>
      </c>
      <c r="D742" s="10" t="s">
        <v>290</v>
      </c>
      <c r="E742" s="11" t="n">
        <v>799</v>
      </c>
      <c r="F742" s="11" t="n">
        <v>499</v>
      </c>
      <c r="G742" s="12" t="n">
        <v>0.38</v>
      </c>
      <c r="H742" s="13" t="n">
        <v>3.9</v>
      </c>
      <c r="I742" s="11" t="n">
        <v>6742</v>
      </c>
      <c r="J742" s="11" t="n">
        <f aca="false">E742-F742</f>
        <v>300</v>
      </c>
      <c r="K742" s="10" t="str">
        <f aca="false">IF(G742&lt;0.2,"0-19%",IF(G742&lt;0.4,"20-39%",IF(G742&lt;0.6,"40-59%",IF(G742&lt;0.8,"60-79%","80%+"))))</f>
        <v>20-39%</v>
      </c>
      <c r="L742" s="10" t="str">
        <f aca="false">IF(H742="","No rating",IF(H742&lt;3.5,"Below 3.5",IF(H742&lt;4,"3.5-3.9",IF(H742&lt;4.5,"4.0-4.4","4.5+"))))</f>
        <v>3.5-3.9</v>
      </c>
    </row>
    <row r="743" customFormat="false" ht="15" hidden="false" customHeight="false" outlineLevel="0" collapsed="false">
      <c r="A743" s="10" t="s">
        <v>1511</v>
      </c>
      <c r="B743" s="10" t="s">
        <v>1512</v>
      </c>
      <c r="C743" s="10" t="s">
        <v>21</v>
      </c>
      <c r="D743" s="10" t="s">
        <v>22</v>
      </c>
      <c r="E743" s="11" t="n">
        <v>600</v>
      </c>
      <c r="F743" s="11" t="n">
        <v>249</v>
      </c>
      <c r="G743" s="12" t="n">
        <v>0.59</v>
      </c>
      <c r="H743" s="13" t="n">
        <v>4</v>
      </c>
      <c r="I743" s="11" t="n">
        <v>1208</v>
      </c>
      <c r="J743" s="11" t="n">
        <f aca="false">E743-F743</f>
        <v>351</v>
      </c>
      <c r="K743" s="10" t="str">
        <f aca="false">IF(G743&lt;0.2,"0-19%",IF(G743&lt;0.4,"20-39%",IF(G743&lt;0.6,"40-59%",IF(G743&lt;0.8,"60-79%","80%+"))))</f>
        <v>40-59%</v>
      </c>
      <c r="L743" s="10" t="str">
        <f aca="false">IF(H743="","No rating",IF(H743&lt;3.5,"Below 3.5",IF(H743&lt;4,"3.5-3.9",IF(H743&lt;4.5,"4.0-4.4","4.5+"))))</f>
        <v>4.0-4.4</v>
      </c>
    </row>
    <row r="744" customFormat="false" ht="15" hidden="false" customHeight="false" outlineLevel="0" collapsed="false">
      <c r="A744" s="10" t="s">
        <v>1513</v>
      </c>
      <c r="B744" s="10" t="s">
        <v>1514</v>
      </c>
      <c r="C744" s="10" t="s">
        <v>21</v>
      </c>
      <c r="D744" s="10" t="s">
        <v>1135</v>
      </c>
      <c r="E744" s="11" t="n">
        <v>5734</v>
      </c>
      <c r="F744" s="11" t="n">
        <v>4449</v>
      </c>
      <c r="G744" s="12" t="n">
        <v>0.22</v>
      </c>
      <c r="H744" s="13" t="n">
        <v>4.4</v>
      </c>
      <c r="I744" s="11" t="n">
        <v>25006</v>
      </c>
      <c r="J744" s="11" t="n">
        <f aca="false">E744-F744</f>
        <v>1285</v>
      </c>
      <c r="K744" s="10" t="str">
        <f aca="false">IF(G744&lt;0.2,"0-19%",IF(G744&lt;0.4,"20-39%",IF(G744&lt;0.6,"40-59%",IF(G744&lt;0.8,"60-79%","80%+"))))</f>
        <v>20-39%</v>
      </c>
      <c r="L744" s="10" t="str">
        <f aca="false">IF(H744="","No rating",IF(H744&lt;3.5,"Below 3.5",IF(H744&lt;4,"3.5-3.9",IF(H744&lt;4.5,"4.0-4.4","4.5+"))))</f>
        <v>4.0-4.4</v>
      </c>
    </row>
    <row r="745" customFormat="false" ht="15" hidden="false" customHeight="false" outlineLevel="0" collapsed="false">
      <c r="A745" s="10" t="s">
        <v>1515</v>
      </c>
      <c r="B745" s="10" t="s">
        <v>1516</v>
      </c>
      <c r="C745" s="10" t="s">
        <v>21</v>
      </c>
      <c r="D745" s="10" t="s">
        <v>22</v>
      </c>
      <c r="E745" s="11" t="n">
        <v>550</v>
      </c>
      <c r="F745" s="11" t="n">
        <v>299</v>
      </c>
      <c r="G745" s="12" t="n">
        <v>0.46</v>
      </c>
      <c r="H745" s="13" t="n">
        <v>4.6</v>
      </c>
      <c r="I745" s="11" t="n">
        <v>33434</v>
      </c>
      <c r="J745" s="11" t="n">
        <f aca="false">E745-F745</f>
        <v>251</v>
      </c>
      <c r="K745" s="10" t="str">
        <f aca="false">IF(G745&lt;0.2,"0-19%",IF(G745&lt;0.4,"20-39%",IF(G745&lt;0.6,"40-59%",IF(G745&lt;0.8,"60-79%","80%+"))))</f>
        <v>40-59%</v>
      </c>
      <c r="L745" s="10" t="str">
        <f aca="false">IF(H745="","No rating",IF(H745&lt;3.5,"Below 3.5",IF(H745&lt;4,"3.5-3.9",IF(H745&lt;4.5,"4.0-4.4","4.5+"))))</f>
        <v>4.5+</v>
      </c>
    </row>
    <row r="746" customFormat="false" ht="15" hidden="false" customHeight="false" outlineLevel="0" collapsed="false">
      <c r="A746" s="10" t="s">
        <v>1517</v>
      </c>
      <c r="B746" s="10" t="s">
        <v>1518</v>
      </c>
      <c r="C746" s="10" t="s">
        <v>21</v>
      </c>
      <c r="D746" s="10" t="s">
        <v>22</v>
      </c>
      <c r="E746" s="11" t="n">
        <v>1390</v>
      </c>
      <c r="F746" s="11" t="n">
        <v>629</v>
      </c>
      <c r="G746" s="12" t="n">
        <v>0.55</v>
      </c>
      <c r="H746" s="13" t="n">
        <v>4.4</v>
      </c>
      <c r="I746" s="11" t="n">
        <v>6301</v>
      </c>
      <c r="J746" s="11" t="n">
        <f aca="false">E746-F746</f>
        <v>761</v>
      </c>
      <c r="K746" s="10" t="str">
        <f aca="false">IF(G746&lt;0.2,"0-19%",IF(G746&lt;0.4,"20-39%",IF(G746&lt;0.6,"40-59%",IF(G746&lt;0.8,"60-79%","80%+"))))</f>
        <v>40-59%</v>
      </c>
      <c r="L746" s="10" t="str">
        <f aca="false">IF(H746="","No rating",IF(H746&lt;3.5,"Below 3.5",IF(H746&lt;4,"3.5-3.9",IF(H746&lt;4.5,"4.0-4.4","4.5+"))))</f>
        <v>4.0-4.4</v>
      </c>
    </row>
    <row r="747" customFormat="false" ht="15" hidden="false" customHeight="false" outlineLevel="0" collapsed="false">
      <c r="A747" s="10" t="s">
        <v>1519</v>
      </c>
      <c r="B747" s="10" t="s">
        <v>1520</v>
      </c>
      <c r="C747" s="10" t="s">
        <v>21</v>
      </c>
      <c r="D747" s="10" t="s">
        <v>22</v>
      </c>
      <c r="E747" s="11" t="n">
        <v>3295</v>
      </c>
      <c r="F747" s="11" t="n">
        <v>2595</v>
      </c>
      <c r="G747" s="12" t="n">
        <v>0.21</v>
      </c>
      <c r="H747" s="13" t="n">
        <v>4.4</v>
      </c>
      <c r="I747" s="11" t="n">
        <v>22618</v>
      </c>
      <c r="J747" s="11" t="n">
        <f aca="false">E747-F747</f>
        <v>700</v>
      </c>
      <c r="K747" s="10" t="str">
        <f aca="false">IF(G747&lt;0.2,"0-19%",IF(G747&lt;0.4,"20-39%",IF(G747&lt;0.6,"40-59%",IF(G747&lt;0.8,"60-79%","80%+"))))</f>
        <v>20-39%</v>
      </c>
      <c r="L747" s="10" t="str">
        <f aca="false">IF(H747="","No rating",IF(H747&lt;3.5,"Below 3.5",IF(H747&lt;4,"3.5-3.9",IF(H747&lt;4.5,"4.0-4.4","4.5+"))))</f>
        <v>4.0-4.4</v>
      </c>
    </row>
    <row r="748" customFormat="false" ht="15" hidden="false" customHeight="false" outlineLevel="0" collapsed="false">
      <c r="A748" s="10" t="s">
        <v>1521</v>
      </c>
      <c r="B748" s="10" t="s">
        <v>1522</v>
      </c>
      <c r="C748" s="10" t="s">
        <v>21</v>
      </c>
      <c r="D748" s="10" t="s">
        <v>39</v>
      </c>
      <c r="E748" s="11" t="n">
        <v>2911</v>
      </c>
      <c r="F748" s="11" t="n">
        <v>1799</v>
      </c>
      <c r="G748" s="12" t="n">
        <v>0.38</v>
      </c>
      <c r="H748" s="13" t="n">
        <v>4.3</v>
      </c>
      <c r="I748" s="11" t="n">
        <v>20342</v>
      </c>
      <c r="J748" s="11" t="n">
        <f aca="false">E748-F748</f>
        <v>1112</v>
      </c>
      <c r="K748" s="10" t="str">
        <f aca="false">IF(G748&lt;0.2,"0-19%",IF(G748&lt;0.4,"20-39%",IF(G748&lt;0.6,"40-59%",IF(G748&lt;0.8,"60-79%","80%+"))))</f>
        <v>20-39%</v>
      </c>
      <c r="L748" s="10" t="str">
        <f aca="false">IF(H748="","No rating",IF(H748&lt;3.5,"Below 3.5",IF(H748&lt;4,"3.5-3.9",IF(H748&lt;4.5,"4.0-4.4","4.5+"))))</f>
        <v>4.0-4.4</v>
      </c>
    </row>
    <row r="749" customFormat="false" ht="15" hidden="false" customHeight="false" outlineLevel="0" collapsed="false">
      <c r="A749" s="10" t="s">
        <v>1523</v>
      </c>
      <c r="B749" s="10" t="s">
        <v>1524</v>
      </c>
      <c r="C749" s="10" t="s">
        <v>1177</v>
      </c>
      <c r="D749" s="10" t="s">
        <v>1178</v>
      </c>
      <c r="E749" s="11" t="n">
        <v>175</v>
      </c>
      <c r="F749" s="11" t="n">
        <v>90</v>
      </c>
      <c r="G749" s="12" t="n">
        <v>0.49</v>
      </c>
      <c r="H749" s="13" t="n">
        <v>4.4</v>
      </c>
      <c r="I749" s="11" t="n">
        <v>7429</v>
      </c>
      <c r="J749" s="11" t="n">
        <f aca="false">E749-F749</f>
        <v>85</v>
      </c>
      <c r="K749" s="10" t="str">
        <f aca="false">IF(G749&lt;0.2,"0-19%",IF(G749&lt;0.4,"20-39%",IF(G749&lt;0.6,"40-59%",IF(G749&lt;0.8,"60-79%","80%+"))))</f>
        <v>40-59%</v>
      </c>
      <c r="L749" s="10" t="str">
        <f aca="false">IF(H749="","No rating",IF(H749&lt;3.5,"Below 3.5",IF(H749&lt;4,"3.5-3.9",IF(H749&lt;4.5,"4.0-4.4","4.5+"))))</f>
        <v>4.0-4.4</v>
      </c>
    </row>
    <row r="750" customFormat="false" ht="15" hidden="false" customHeight="false" outlineLevel="0" collapsed="false">
      <c r="A750" s="10" t="s">
        <v>1525</v>
      </c>
      <c r="B750" s="10" t="s">
        <v>1526</v>
      </c>
      <c r="C750" s="10" t="s">
        <v>21</v>
      </c>
      <c r="D750" s="10" t="s">
        <v>22</v>
      </c>
      <c r="E750" s="11" t="n">
        <v>599</v>
      </c>
      <c r="F750" s="11" t="n">
        <v>599</v>
      </c>
      <c r="G750" s="12" t="n">
        <v>0</v>
      </c>
      <c r="H750" s="13" t="n">
        <v>4</v>
      </c>
      <c r="I750" s="11" t="n">
        <v>26423</v>
      </c>
      <c r="J750" s="11" t="n">
        <f aca="false">E750-F750</f>
        <v>0</v>
      </c>
      <c r="K750" s="10" t="str">
        <f aca="false">IF(G750&lt;0.2,"0-19%",IF(G750&lt;0.4,"20-39%",IF(G750&lt;0.6,"40-59%",IF(G750&lt;0.8,"60-79%","80%+"))))</f>
        <v>0-19%</v>
      </c>
      <c r="L750" s="10" t="str">
        <f aca="false">IF(H750="","No rating",IF(H750&lt;3.5,"Below 3.5",IF(H750&lt;4,"3.5-3.9",IF(H750&lt;4.5,"4.0-4.4","4.5+"))))</f>
        <v>4.0-4.4</v>
      </c>
    </row>
    <row r="751" customFormat="false" ht="15" hidden="false" customHeight="false" outlineLevel="0" collapsed="false">
      <c r="A751" s="10" t="s">
        <v>1527</v>
      </c>
      <c r="B751" s="10" t="s">
        <v>1528</v>
      </c>
      <c r="C751" s="10" t="s">
        <v>48</v>
      </c>
      <c r="D751" s="10" t="s">
        <v>693</v>
      </c>
      <c r="E751" s="11" t="n">
        <v>7999</v>
      </c>
      <c r="F751" s="11" t="n">
        <v>1999</v>
      </c>
      <c r="G751" s="12" t="n">
        <v>0.75</v>
      </c>
      <c r="H751" s="13" t="n">
        <v>4.2</v>
      </c>
      <c r="I751" s="11" t="n">
        <v>31305</v>
      </c>
      <c r="J751" s="11" t="n">
        <f aca="false">E751-F751</f>
        <v>6000</v>
      </c>
      <c r="K751" s="10" t="str">
        <f aca="false">IF(G751&lt;0.2,"0-19%",IF(G751&lt;0.4,"20-39%",IF(G751&lt;0.6,"40-59%",IF(G751&lt;0.8,"60-79%","80%+"))))</f>
        <v>60-79%</v>
      </c>
      <c r="L751" s="10" t="str">
        <f aca="false">IF(H751="","No rating",IF(H751&lt;3.5,"Below 3.5",IF(H751&lt;4,"3.5-3.9",IF(H751&lt;4.5,"4.0-4.4","4.5+"))))</f>
        <v>4.0-4.4</v>
      </c>
    </row>
    <row r="752" customFormat="false" ht="15" hidden="false" customHeight="false" outlineLevel="0" collapsed="false">
      <c r="A752" s="10" t="s">
        <v>1529</v>
      </c>
      <c r="B752" s="10" t="s">
        <v>1530</v>
      </c>
      <c r="C752" s="10" t="s">
        <v>21</v>
      </c>
      <c r="D752" s="10" t="s">
        <v>39</v>
      </c>
      <c r="E752" s="11" t="n">
        <v>3250</v>
      </c>
      <c r="F752" s="11" t="n">
        <v>2099</v>
      </c>
      <c r="G752" s="12" t="n">
        <v>0.35</v>
      </c>
      <c r="H752" s="13" t="n">
        <v>3.8</v>
      </c>
      <c r="I752" s="11" t="n">
        <v>11213</v>
      </c>
      <c r="J752" s="11" t="n">
        <f aca="false">E752-F752</f>
        <v>1151</v>
      </c>
      <c r="K752" s="10" t="str">
        <f aca="false">IF(G752&lt;0.2,"0-19%",IF(G752&lt;0.4,"20-39%",IF(G752&lt;0.6,"40-59%",IF(G752&lt;0.8,"60-79%","80%+"))))</f>
        <v>20-39%</v>
      </c>
      <c r="L752" s="10" t="str">
        <f aca="false">IF(H752="","No rating",IF(H752&lt;3.5,"Below 3.5",IF(H752&lt;4,"3.5-3.9",IF(H752&lt;4.5,"4.0-4.4","4.5+"))))</f>
        <v>3.5-3.9</v>
      </c>
    </row>
    <row r="753" customFormat="false" ht="15" hidden="false" customHeight="false" outlineLevel="0" collapsed="false">
      <c r="A753" s="10" t="s">
        <v>1531</v>
      </c>
      <c r="B753" s="10" t="s">
        <v>1532</v>
      </c>
      <c r="C753" s="10" t="s">
        <v>21</v>
      </c>
      <c r="D753" s="10" t="s">
        <v>22</v>
      </c>
      <c r="E753" s="11" t="n">
        <v>499</v>
      </c>
      <c r="F753" s="11" t="n">
        <v>179</v>
      </c>
      <c r="G753" s="12" t="n">
        <v>0.64</v>
      </c>
      <c r="H753" s="13" t="n">
        <v>4.1</v>
      </c>
      <c r="I753" s="11" t="n">
        <v>10174</v>
      </c>
      <c r="J753" s="11" t="n">
        <f aca="false">E753-F753</f>
        <v>320</v>
      </c>
      <c r="K753" s="10" t="str">
        <f aca="false">IF(G753&lt;0.2,"0-19%",IF(G753&lt;0.4,"20-39%",IF(G753&lt;0.6,"40-59%",IF(G753&lt;0.8,"60-79%","80%+"))))</f>
        <v>60-79%</v>
      </c>
      <c r="L753" s="10" t="str">
        <f aca="false">IF(H753="","No rating",IF(H753&lt;3.5,"Below 3.5",IF(H753&lt;4,"3.5-3.9",IF(H753&lt;4.5,"4.0-4.4","4.5+"))))</f>
        <v>4.0-4.4</v>
      </c>
    </row>
    <row r="754" customFormat="false" ht="15" hidden="false" customHeight="false" outlineLevel="0" collapsed="false">
      <c r="A754" s="10" t="s">
        <v>1533</v>
      </c>
      <c r="B754" s="10" t="s">
        <v>1534</v>
      </c>
      <c r="C754" s="10" t="s">
        <v>21</v>
      </c>
      <c r="D754" s="10" t="s">
        <v>22</v>
      </c>
      <c r="E754" s="11" t="n">
        <v>2295</v>
      </c>
      <c r="F754" s="11" t="n">
        <v>1345</v>
      </c>
      <c r="G754" s="12" t="n">
        <v>0.41</v>
      </c>
      <c r="H754" s="13" t="n">
        <v>4.2</v>
      </c>
      <c r="I754" s="11" t="n">
        <v>17413</v>
      </c>
      <c r="J754" s="11" t="n">
        <f aca="false">E754-F754</f>
        <v>950</v>
      </c>
      <c r="K754" s="10" t="str">
        <f aca="false">IF(G754&lt;0.2,"0-19%",IF(G754&lt;0.4,"20-39%",IF(G754&lt;0.6,"40-59%",IF(G754&lt;0.8,"60-79%","80%+"))))</f>
        <v>40-59%</v>
      </c>
      <c r="L754" s="10" t="str">
        <f aca="false">IF(H754="","No rating",IF(H754&lt;3.5,"Below 3.5",IF(H754&lt;4,"3.5-3.9",IF(H754&lt;4.5,"4.0-4.4","4.5+"))))</f>
        <v>4.0-4.4</v>
      </c>
    </row>
    <row r="755" customFormat="false" ht="15" hidden="false" customHeight="false" outlineLevel="0" collapsed="false">
      <c r="A755" s="10" t="s">
        <v>1535</v>
      </c>
      <c r="B755" s="10" t="s">
        <v>1536</v>
      </c>
      <c r="C755" s="10" t="s">
        <v>48</v>
      </c>
      <c r="D755" s="10" t="s">
        <v>1193</v>
      </c>
      <c r="E755" s="11" t="n">
        <v>995</v>
      </c>
      <c r="F755" s="11" t="n">
        <v>349</v>
      </c>
      <c r="G755" s="12" t="n">
        <v>0.65</v>
      </c>
      <c r="H755" s="13" t="n">
        <v>4.2</v>
      </c>
      <c r="I755" s="11" t="n">
        <v>6676</v>
      </c>
      <c r="J755" s="11" t="n">
        <f aca="false">E755-F755</f>
        <v>646</v>
      </c>
      <c r="K755" s="10" t="str">
        <f aca="false">IF(G755&lt;0.2,"0-19%",IF(G755&lt;0.4,"20-39%",IF(G755&lt;0.6,"40-59%",IF(G755&lt;0.8,"60-79%","80%+"))))</f>
        <v>60-79%</v>
      </c>
      <c r="L755" s="10" t="str">
        <f aca="false">IF(H755="","No rating",IF(H755&lt;3.5,"Below 3.5",IF(H755&lt;4,"3.5-3.9",IF(H755&lt;4.5,"4.0-4.4","4.5+"))))</f>
        <v>4.0-4.4</v>
      </c>
    </row>
    <row r="756" customFormat="false" ht="15" hidden="false" customHeight="false" outlineLevel="0" collapsed="false">
      <c r="A756" s="10" t="s">
        <v>1537</v>
      </c>
      <c r="B756" s="10" t="s">
        <v>1538</v>
      </c>
      <c r="C756" s="10" t="s">
        <v>21</v>
      </c>
      <c r="D756" s="10" t="s">
        <v>22</v>
      </c>
      <c r="E756" s="11" t="n">
        <v>499</v>
      </c>
      <c r="F756" s="11" t="n">
        <v>287</v>
      </c>
      <c r="G756" s="12" t="n">
        <v>0.42</v>
      </c>
      <c r="H756" s="13" t="n">
        <v>4.4</v>
      </c>
      <c r="I756" s="11" t="n">
        <v>8076</v>
      </c>
      <c r="J756" s="11" t="n">
        <f aca="false">E756-F756</f>
        <v>212</v>
      </c>
      <c r="K756" s="10" t="str">
        <f aca="false">IF(G756&lt;0.2,"0-19%",IF(G756&lt;0.4,"20-39%",IF(G756&lt;0.6,"40-59%",IF(G756&lt;0.8,"60-79%","80%+"))))</f>
        <v>40-59%</v>
      </c>
      <c r="L756" s="10" t="str">
        <f aca="false">IF(H756="","No rating",IF(H756&lt;3.5,"Below 3.5",IF(H756&lt;4,"3.5-3.9",IF(H756&lt;4.5,"4.0-4.4","4.5+"))))</f>
        <v>4.0-4.4</v>
      </c>
    </row>
    <row r="757" customFormat="false" ht="15" hidden="false" customHeight="false" outlineLevel="0" collapsed="false">
      <c r="A757" s="10" t="s">
        <v>1539</v>
      </c>
      <c r="B757" s="10" t="s">
        <v>1540</v>
      </c>
      <c r="C757" s="10" t="s">
        <v>21</v>
      </c>
      <c r="D757" s="10" t="s">
        <v>1135</v>
      </c>
      <c r="E757" s="11" t="n">
        <v>450</v>
      </c>
      <c r="F757" s="11" t="n">
        <v>349</v>
      </c>
      <c r="G757" s="12" t="n">
        <v>0.22</v>
      </c>
      <c r="H757" s="13" t="n">
        <v>4.1</v>
      </c>
      <c r="I757" s="11" t="n">
        <v>18656</v>
      </c>
      <c r="J757" s="11" t="n">
        <f aca="false">E757-F757</f>
        <v>101</v>
      </c>
      <c r="K757" s="10" t="str">
        <f aca="false">IF(G757&lt;0.2,"0-19%",IF(G757&lt;0.4,"20-39%",IF(G757&lt;0.6,"40-59%",IF(G757&lt;0.8,"60-79%","80%+"))))</f>
        <v>20-39%</v>
      </c>
      <c r="L757" s="10" t="str">
        <f aca="false">IF(H757="","No rating",IF(H757&lt;3.5,"Below 3.5",IF(H757&lt;4,"3.5-3.9",IF(H757&lt;4.5,"4.0-4.4","4.5+"))))</f>
        <v>4.0-4.4</v>
      </c>
    </row>
    <row r="758" customFormat="false" ht="15" hidden="false" customHeight="false" outlineLevel="0" collapsed="false">
      <c r="A758" s="10" t="s">
        <v>1541</v>
      </c>
      <c r="B758" s="10" t="s">
        <v>1542</v>
      </c>
      <c r="C758" s="10" t="s">
        <v>48</v>
      </c>
      <c r="D758" s="10" t="s">
        <v>1174</v>
      </c>
      <c r="E758" s="11" t="n">
        <v>1109</v>
      </c>
      <c r="F758" s="11" t="n">
        <v>879</v>
      </c>
      <c r="G758" s="12" t="n">
        <v>0.21</v>
      </c>
      <c r="H758" s="13" t="n">
        <v>4.4</v>
      </c>
      <c r="I758" s="11" t="n">
        <v>31599</v>
      </c>
      <c r="J758" s="11" t="n">
        <f aca="false">E758-F758</f>
        <v>230</v>
      </c>
      <c r="K758" s="10" t="str">
        <f aca="false">IF(G758&lt;0.2,"0-19%",IF(G758&lt;0.4,"20-39%",IF(G758&lt;0.6,"40-59%",IF(G758&lt;0.8,"60-79%","80%+"))))</f>
        <v>20-39%</v>
      </c>
      <c r="L758" s="10" t="str">
        <f aca="false">IF(H758="","No rating",IF(H758&lt;3.5,"Below 3.5",IF(H758&lt;4,"3.5-3.9",IF(H758&lt;4.5,"4.0-4.4","4.5+"))))</f>
        <v>4.0-4.4</v>
      </c>
    </row>
    <row r="759" customFormat="false" ht="15" hidden="false" customHeight="false" outlineLevel="0" collapsed="false">
      <c r="A759" s="10" t="s">
        <v>1543</v>
      </c>
      <c r="B759" s="10" t="s">
        <v>1544</v>
      </c>
      <c r="C759" s="10" t="s">
        <v>48</v>
      </c>
      <c r="D759" s="10" t="s">
        <v>1174</v>
      </c>
      <c r="E759" s="11" t="n">
        <v>250</v>
      </c>
      <c r="F759" s="11" t="n">
        <v>250</v>
      </c>
      <c r="G759" s="12" t="n">
        <v>0</v>
      </c>
      <c r="H759" s="13" t="n">
        <v>3.9</v>
      </c>
      <c r="I759" s="11" t="n">
        <v>13971</v>
      </c>
      <c r="J759" s="11" t="n">
        <f aca="false">E759-F759</f>
        <v>0</v>
      </c>
      <c r="K759" s="10" t="str">
        <f aca="false">IF(G759&lt;0.2,"0-19%",IF(G759&lt;0.4,"20-39%",IF(G759&lt;0.6,"40-59%",IF(G759&lt;0.8,"60-79%","80%+"))))</f>
        <v>0-19%</v>
      </c>
      <c r="L759" s="10" t="str">
        <f aca="false">IF(H759="","No rating",IF(H759&lt;3.5,"Below 3.5",IF(H759&lt;4,"3.5-3.9",IF(H759&lt;4.5,"4.0-4.4","4.5+"))))</f>
        <v>3.5-3.9</v>
      </c>
    </row>
    <row r="760" customFormat="false" ht="15" hidden="false" customHeight="false" outlineLevel="0" collapsed="false">
      <c r="A760" s="10" t="s">
        <v>1545</v>
      </c>
      <c r="B760" s="10" t="s">
        <v>1546</v>
      </c>
      <c r="C760" s="10" t="s">
        <v>48</v>
      </c>
      <c r="D760" s="10" t="s">
        <v>722</v>
      </c>
      <c r="E760" s="11" t="n">
        <v>499</v>
      </c>
      <c r="F760" s="11" t="n">
        <v>199</v>
      </c>
      <c r="G760" s="12" t="n">
        <v>0.6</v>
      </c>
      <c r="H760" s="13" t="n">
        <v>3.6</v>
      </c>
      <c r="I760" s="11" t="n">
        <v>2492</v>
      </c>
      <c r="J760" s="11" t="n">
        <f aca="false">E760-F760</f>
        <v>300</v>
      </c>
      <c r="K760" s="10" t="str">
        <f aca="false">IF(G760&lt;0.2,"0-19%",IF(G760&lt;0.4,"20-39%",IF(G760&lt;0.6,"40-59%",IF(G760&lt;0.8,"60-79%","80%+"))))</f>
        <v>60-79%</v>
      </c>
      <c r="L760" s="10" t="str">
        <f aca="false">IF(H760="","No rating",IF(H760&lt;3.5,"Below 3.5",IF(H760&lt;4,"3.5-3.9",IF(H760&lt;4.5,"4.0-4.4","4.5+"))))</f>
        <v>3.5-3.9</v>
      </c>
    </row>
    <row r="761" customFormat="false" ht="15" hidden="false" customHeight="false" outlineLevel="0" collapsed="false">
      <c r="A761" s="10" t="s">
        <v>1547</v>
      </c>
      <c r="B761" s="10" t="s">
        <v>1548</v>
      </c>
      <c r="C761" s="10" t="s">
        <v>21</v>
      </c>
      <c r="D761" s="10" t="s">
        <v>22</v>
      </c>
      <c r="E761" s="11" t="n">
        <v>999</v>
      </c>
      <c r="F761" s="11" t="n">
        <v>149</v>
      </c>
      <c r="G761" s="12" t="n">
        <v>0.85</v>
      </c>
      <c r="H761" s="13" t="n">
        <v>3.5</v>
      </c>
      <c r="I761" s="11" t="n">
        <v>2523</v>
      </c>
      <c r="J761" s="11" t="n">
        <f aca="false">E761-F761</f>
        <v>850</v>
      </c>
      <c r="K761" s="10" t="str">
        <f aca="false">IF(G761&lt;0.2,"0-19%",IF(G761&lt;0.4,"20-39%",IF(G761&lt;0.6,"40-59%",IF(G761&lt;0.8,"60-79%","80%+"))))</f>
        <v>80%+</v>
      </c>
      <c r="L761" s="10" t="str">
        <f aca="false">IF(H761="","No rating",IF(H761&lt;3.5,"Below 3.5",IF(H761&lt;4,"3.5-3.9",IF(H761&lt;4.5,"4.0-4.4","4.5+"))))</f>
        <v>3.5-3.9</v>
      </c>
    </row>
    <row r="762" customFormat="false" ht="15" hidden="false" customHeight="false" outlineLevel="0" collapsed="false">
      <c r="A762" s="10" t="s">
        <v>1549</v>
      </c>
      <c r="B762" s="10" t="s">
        <v>1550</v>
      </c>
      <c r="C762" s="10" t="s">
        <v>21</v>
      </c>
      <c r="D762" s="10" t="s">
        <v>22</v>
      </c>
      <c r="E762" s="11" t="n">
        <v>1499</v>
      </c>
      <c r="F762" s="11" t="n">
        <v>469</v>
      </c>
      <c r="G762" s="12" t="n">
        <v>0.69</v>
      </c>
      <c r="H762" s="13" t="n">
        <v>4.1</v>
      </c>
      <c r="I762" s="11" t="n">
        <v>352</v>
      </c>
      <c r="J762" s="11" t="n">
        <f aca="false">E762-F762</f>
        <v>1030</v>
      </c>
      <c r="K762" s="10" t="str">
        <f aca="false">IF(G762&lt;0.2,"0-19%",IF(G762&lt;0.4,"20-39%",IF(G762&lt;0.6,"40-59%",IF(G762&lt;0.8,"60-79%","80%+"))))</f>
        <v>60-79%</v>
      </c>
      <c r="L762" s="10" t="str">
        <f aca="false">IF(H762="","No rating",IF(H762&lt;3.5,"Below 3.5",IF(H762&lt;4,"3.5-3.9",IF(H762&lt;4.5,"4.0-4.4","4.5+"))))</f>
        <v>4.0-4.4</v>
      </c>
    </row>
    <row r="763" customFormat="false" ht="15" hidden="false" customHeight="false" outlineLevel="0" collapsed="false">
      <c r="A763" s="10" t="s">
        <v>1551</v>
      </c>
      <c r="B763" s="10" t="s">
        <v>1552</v>
      </c>
      <c r="C763" s="10" t="s">
        <v>21</v>
      </c>
      <c r="D763" s="10" t="s">
        <v>22</v>
      </c>
      <c r="E763" s="11" t="n">
        <v>1929</v>
      </c>
      <c r="F763" s="11" t="n">
        <v>1187</v>
      </c>
      <c r="G763" s="12" t="n">
        <v>0.38</v>
      </c>
      <c r="H763" s="13" t="n">
        <v>4.1</v>
      </c>
      <c r="I763" s="11" t="n">
        <v>1662</v>
      </c>
      <c r="J763" s="11" t="n">
        <f aca="false">E763-F763</f>
        <v>742</v>
      </c>
      <c r="K763" s="10" t="str">
        <f aca="false">IF(G763&lt;0.2,"0-19%",IF(G763&lt;0.4,"20-39%",IF(G763&lt;0.6,"40-59%",IF(G763&lt;0.8,"60-79%","80%+"))))</f>
        <v>20-39%</v>
      </c>
      <c r="L763" s="10" t="str">
        <f aca="false">IF(H763="","No rating",IF(H763&lt;3.5,"Below 3.5",IF(H763&lt;4,"3.5-3.9",IF(H763&lt;4.5,"4.0-4.4","4.5+"))))</f>
        <v>4.0-4.4</v>
      </c>
    </row>
    <row r="764" customFormat="false" ht="15" hidden="false" customHeight="false" outlineLevel="0" collapsed="false">
      <c r="A764" s="10" t="s">
        <v>1553</v>
      </c>
      <c r="B764" s="10" t="s">
        <v>1554</v>
      </c>
      <c r="C764" s="10" t="s">
        <v>21</v>
      </c>
      <c r="D764" s="10" t="s">
        <v>22</v>
      </c>
      <c r="E764" s="11" t="n">
        <v>1499</v>
      </c>
      <c r="F764" s="11" t="n">
        <v>849</v>
      </c>
      <c r="G764" s="12" t="n">
        <v>0.43</v>
      </c>
      <c r="H764" s="13" t="n">
        <v>4</v>
      </c>
      <c r="I764" s="11" t="n">
        <v>7352</v>
      </c>
      <c r="J764" s="11" t="n">
        <f aca="false">E764-F764</f>
        <v>650</v>
      </c>
      <c r="K764" s="10" t="str">
        <f aca="false">IF(G764&lt;0.2,"0-19%",IF(G764&lt;0.4,"20-39%",IF(G764&lt;0.6,"40-59%",IF(G764&lt;0.8,"60-79%","80%+"))))</f>
        <v>40-59%</v>
      </c>
      <c r="L764" s="10" t="str">
        <f aca="false">IF(H764="","No rating",IF(H764&lt;3.5,"Below 3.5",IF(H764&lt;4,"3.5-3.9",IF(H764&lt;4.5,"4.0-4.4","4.5+"))))</f>
        <v>4.0-4.4</v>
      </c>
    </row>
    <row r="765" customFormat="false" ht="15" hidden="false" customHeight="false" outlineLevel="0" collapsed="false">
      <c r="A765" s="10" t="s">
        <v>1555</v>
      </c>
      <c r="B765" s="10" t="s">
        <v>1556</v>
      </c>
      <c r="C765" s="10" t="s">
        <v>21</v>
      </c>
      <c r="D765" s="10" t="s">
        <v>22</v>
      </c>
      <c r="E765" s="11" t="n">
        <v>399</v>
      </c>
      <c r="F765" s="11" t="n">
        <v>328</v>
      </c>
      <c r="G765" s="12" t="n">
        <v>0.18</v>
      </c>
      <c r="H765" s="13" t="n">
        <v>4.1</v>
      </c>
      <c r="I765" s="11" t="n">
        <v>3441</v>
      </c>
      <c r="J765" s="11" t="n">
        <f aca="false">E765-F765</f>
        <v>71</v>
      </c>
      <c r="K765" s="10" t="str">
        <f aca="false">IF(G765&lt;0.2,"0-19%",IF(G765&lt;0.4,"20-39%",IF(G765&lt;0.6,"40-59%",IF(G765&lt;0.8,"60-79%","80%+"))))</f>
        <v>0-19%</v>
      </c>
      <c r="L765" s="10" t="str">
        <f aca="false">IF(H765="","No rating",IF(H765&lt;3.5,"Below 3.5",IF(H765&lt;4,"3.5-3.9",IF(H765&lt;4.5,"4.0-4.4","4.5+"))))</f>
        <v>4.0-4.4</v>
      </c>
    </row>
    <row r="766" customFormat="false" ht="15" hidden="false" customHeight="false" outlineLevel="0" collapsed="false">
      <c r="A766" s="10" t="s">
        <v>1557</v>
      </c>
      <c r="B766" s="10" t="s">
        <v>1558</v>
      </c>
      <c r="C766" s="10" t="s">
        <v>21</v>
      </c>
      <c r="D766" s="10" t="s">
        <v>22</v>
      </c>
      <c r="E766" s="11" t="n">
        <v>699</v>
      </c>
      <c r="F766" s="11" t="n">
        <v>269</v>
      </c>
      <c r="G766" s="12" t="n">
        <v>0.62</v>
      </c>
      <c r="H766" s="13" t="n">
        <v>4</v>
      </c>
      <c r="I766" s="11" t="n">
        <v>93</v>
      </c>
      <c r="J766" s="11" t="n">
        <f aca="false">E766-F766</f>
        <v>430</v>
      </c>
      <c r="K766" s="10" t="str">
        <f aca="false">IF(G766&lt;0.2,"0-19%",IF(G766&lt;0.4,"20-39%",IF(G766&lt;0.6,"40-59%",IF(G766&lt;0.8,"60-79%","80%+"))))</f>
        <v>60-79%</v>
      </c>
      <c r="L766" s="10" t="str">
        <f aca="false">IF(H766="","No rating",IF(H766&lt;3.5,"Below 3.5",IF(H766&lt;4,"3.5-3.9",IF(H766&lt;4.5,"4.0-4.4","4.5+"))))</f>
        <v>4.0-4.4</v>
      </c>
    </row>
    <row r="767" customFormat="false" ht="15" hidden="false" customHeight="false" outlineLevel="0" collapsed="false">
      <c r="A767" s="10" t="s">
        <v>1559</v>
      </c>
      <c r="B767" s="10" t="s">
        <v>1560</v>
      </c>
      <c r="C767" s="10" t="s">
        <v>48</v>
      </c>
      <c r="D767" s="10" t="s">
        <v>1193</v>
      </c>
      <c r="E767" s="11" t="n">
        <v>400</v>
      </c>
      <c r="F767" s="11" t="n">
        <v>299</v>
      </c>
      <c r="G767" s="12" t="n">
        <v>0.25</v>
      </c>
      <c r="H767" s="13" t="n">
        <v>3.8</v>
      </c>
      <c r="I767" s="11" t="n">
        <v>40895</v>
      </c>
      <c r="J767" s="11" t="n">
        <f aca="false">E767-F767</f>
        <v>101</v>
      </c>
      <c r="K767" s="10" t="str">
        <f aca="false">IF(G767&lt;0.2,"0-19%",IF(G767&lt;0.4,"20-39%",IF(G767&lt;0.6,"40-59%",IF(G767&lt;0.8,"60-79%","80%+"))))</f>
        <v>20-39%</v>
      </c>
      <c r="L767" s="10" t="str">
        <f aca="false">IF(H767="","No rating",IF(H767&lt;3.5,"Below 3.5",IF(H767&lt;4,"3.5-3.9",IF(H767&lt;4.5,"4.0-4.4","4.5+"))))</f>
        <v>3.5-3.9</v>
      </c>
    </row>
    <row r="768" customFormat="false" ht="15" hidden="false" customHeight="false" outlineLevel="0" collapsed="false">
      <c r="A768" s="10" t="s">
        <v>1561</v>
      </c>
      <c r="B768" s="10" t="s">
        <v>1562</v>
      </c>
      <c r="C768" s="10" t="s">
        <v>21</v>
      </c>
      <c r="D768" s="10" t="s">
        <v>22</v>
      </c>
      <c r="E768" s="11" t="n">
        <v>1499</v>
      </c>
      <c r="F768" s="11" t="n">
        <v>549</v>
      </c>
      <c r="G768" s="12" t="n">
        <v>0.63</v>
      </c>
      <c r="H768" s="13" t="n">
        <v>4.3</v>
      </c>
      <c r="I768" s="11" t="n">
        <v>11006</v>
      </c>
      <c r="J768" s="11" t="n">
        <f aca="false">E768-F768</f>
        <v>950</v>
      </c>
      <c r="K768" s="10" t="str">
        <f aca="false">IF(G768&lt;0.2,"0-19%",IF(G768&lt;0.4,"20-39%",IF(G768&lt;0.6,"40-59%",IF(G768&lt;0.8,"60-79%","80%+"))))</f>
        <v>60-79%</v>
      </c>
      <c r="L768" s="10" t="str">
        <f aca="false">IF(H768="","No rating",IF(H768&lt;3.5,"Below 3.5",IF(H768&lt;4,"3.5-3.9",IF(H768&lt;4.5,"4.0-4.4","4.5+"))))</f>
        <v>4.0-4.4</v>
      </c>
    </row>
    <row r="769" customFormat="false" ht="15" hidden="false" customHeight="false" outlineLevel="0" collapsed="false">
      <c r="A769" s="10" t="s">
        <v>1563</v>
      </c>
      <c r="B769" s="10" t="s">
        <v>1564</v>
      </c>
      <c r="C769" s="10" t="s">
        <v>1177</v>
      </c>
      <c r="D769" s="10" t="s">
        <v>1178</v>
      </c>
      <c r="E769" s="11" t="n">
        <v>120</v>
      </c>
      <c r="F769" s="11" t="n">
        <v>114</v>
      </c>
      <c r="G769" s="12" t="n">
        <v>0.05</v>
      </c>
      <c r="H769" s="13" t="n">
        <v>4.2</v>
      </c>
      <c r="I769" s="11" t="n">
        <v>8938</v>
      </c>
      <c r="J769" s="11" t="n">
        <f aca="false">E769-F769</f>
        <v>6</v>
      </c>
      <c r="K769" s="10" t="str">
        <f aca="false">IF(G769&lt;0.2,"0-19%",IF(G769&lt;0.4,"20-39%",IF(G769&lt;0.6,"40-59%",IF(G769&lt;0.8,"60-79%","80%+"))))</f>
        <v>0-19%</v>
      </c>
      <c r="L769" s="10" t="str">
        <f aca="false">IF(H769="","No rating",IF(H769&lt;3.5,"Below 3.5",IF(H769&lt;4,"3.5-3.9",IF(H769&lt;4.5,"4.0-4.4","4.5+"))))</f>
        <v>4.0-4.4</v>
      </c>
    </row>
    <row r="770" customFormat="false" ht="15" hidden="false" customHeight="false" outlineLevel="0" collapsed="false">
      <c r="A770" s="10" t="s">
        <v>1565</v>
      </c>
      <c r="B770" s="10" t="s">
        <v>1566</v>
      </c>
      <c r="C770" s="10" t="s">
        <v>1177</v>
      </c>
      <c r="D770" s="10" t="s">
        <v>1178</v>
      </c>
      <c r="E770" s="11" t="n">
        <v>120</v>
      </c>
      <c r="F770" s="11" t="n">
        <v>120</v>
      </c>
      <c r="G770" s="12" t="n">
        <v>0</v>
      </c>
      <c r="H770" s="13" t="n">
        <v>4.1</v>
      </c>
      <c r="I770" s="11" t="n">
        <v>4308</v>
      </c>
      <c r="J770" s="11" t="n">
        <f aca="false">E770-F770</f>
        <v>0</v>
      </c>
      <c r="K770" s="10" t="str">
        <f aca="false">IF(G770&lt;0.2,"0-19%",IF(G770&lt;0.4,"20-39%",IF(G770&lt;0.6,"40-59%",IF(G770&lt;0.8,"60-79%","80%+"))))</f>
        <v>0-19%</v>
      </c>
      <c r="L770" s="10" t="str">
        <f aca="false">IF(H770="","No rating",IF(H770&lt;3.5,"Below 3.5",IF(H770&lt;4,"3.5-3.9",IF(H770&lt;4.5,"4.0-4.4","4.5+"))))</f>
        <v>4.0-4.4</v>
      </c>
    </row>
    <row r="771" customFormat="false" ht="15" hidden="false" customHeight="false" outlineLevel="0" collapsed="false">
      <c r="A771" s="10" t="s">
        <v>1567</v>
      </c>
      <c r="B771" s="10" t="s">
        <v>1568</v>
      </c>
      <c r="C771" s="10" t="s">
        <v>21</v>
      </c>
      <c r="D771" s="10" t="s">
        <v>22</v>
      </c>
      <c r="E771" s="11" t="n">
        <v>2295</v>
      </c>
      <c r="F771" s="11" t="n">
        <v>1490</v>
      </c>
      <c r="G771" s="12" t="n">
        <v>0.35</v>
      </c>
      <c r="H771" s="13" t="n">
        <v>4.6</v>
      </c>
      <c r="I771" s="11" t="n">
        <v>10652</v>
      </c>
      <c r="J771" s="11" t="n">
        <f aca="false">E771-F771</f>
        <v>805</v>
      </c>
      <c r="K771" s="10" t="str">
        <f aca="false">IF(G771&lt;0.2,"0-19%",IF(G771&lt;0.4,"20-39%",IF(G771&lt;0.6,"40-59%",IF(G771&lt;0.8,"60-79%","80%+"))))</f>
        <v>20-39%</v>
      </c>
      <c r="L771" s="10" t="str">
        <f aca="false">IF(H771="","No rating",IF(H771&lt;3.5,"Below 3.5",IF(H771&lt;4,"3.5-3.9",IF(H771&lt;4.5,"4.0-4.4","4.5+"))))</f>
        <v>4.5+</v>
      </c>
    </row>
    <row r="772" customFormat="false" ht="15" hidden="false" customHeight="false" outlineLevel="0" collapsed="false">
      <c r="A772" s="10" t="s">
        <v>1569</v>
      </c>
      <c r="B772" s="10" t="s">
        <v>1570</v>
      </c>
      <c r="C772" s="10" t="s">
        <v>1181</v>
      </c>
      <c r="D772" s="10" t="s">
        <v>1182</v>
      </c>
      <c r="E772" s="11" t="n">
        <v>99</v>
      </c>
      <c r="F772" s="11" t="n">
        <v>99</v>
      </c>
      <c r="G772" s="12" t="n">
        <v>0</v>
      </c>
      <c r="H772" s="13" t="n">
        <v>4.3</v>
      </c>
      <c r="I772" s="11" t="n">
        <v>5036</v>
      </c>
      <c r="J772" s="11" t="n">
        <f aca="false">E772-F772</f>
        <v>0</v>
      </c>
      <c r="K772" s="10" t="str">
        <f aca="false">IF(G772&lt;0.2,"0-19%",IF(G772&lt;0.4,"20-39%",IF(G772&lt;0.6,"40-59%",IF(G772&lt;0.8,"60-79%","80%+"))))</f>
        <v>0-19%</v>
      </c>
      <c r="L772" s="10" t="str">
        <f aca="false">IF(H772="","No rating",IF(H772&lt;3.5,"Below 3.5",IF(H772&lt;4,"3.5-3.9",IF(H772&lt;4.5,"4.0-4.4","4.5+"))))</f>
        <v>4.0-4.4</v>
      </c>
    </row>
    <row r="773" customFormat="false" ht="15" hidden="false" customHeight="false" outlineLevel="0" collapsed="false">
      <c r="A773" s="10" t="s">
        <v>1571</v>
      </c>
      <c r="B773" s="10" t="s">
        <v>1572</v>
      </c>
      <c r="C773" s="10" t="s">
        <v>21</v>
      </c>
      <c r="D773" s="10" t="s">
        <v>22</v>
      </c>
      <c r="E773" s="11" t="n">
        <v>249</v>
      </c>
      <c r="F773" s="11" t="n">
        <v>149</v>
      </c>
      <c r="G773" s="12" t="n">
        <v>0.4</v>
      </c>
      <c r="H773" s="13" t="n">
        <v>4</v>
      </c>
      <c r="I773" s="11" t="n">
        <v>5057</v>
      </c>
      <c r="J773" s="11" t="n">
        <f aca="false">E773-F773</f>
        <v>100</v>
      </c>
      <c r="K773" s="10" t="str">
        <f aca="false">IF(G773&lt;0.2,"0-19%",IF(G773&lt;0.4,"20-39%",IF(G773&lt;0.6,"40-59%",IF(G773&lt;0.8,"60-79%","80%+"))))</f>
        <v>40-59%</v>
      </c>
      <c r="L773" s="10" t="str">
        <f aca="false">IF(H773="","No rating",IF(H773&lt;3.5,"Below 3.5",IF(H773&lt;4,"3.5-3.9",IF(H773&lt;4.5,"4.0-4.4","4.5+"))))</f>
        <v>4.0-4.4</v>
      </c>
    </row>
    <row r="774" customFormat="false" ht="15" hidden="false" customHeight="false" outlineLevel="0" collapsed="false">
      <c r="A774" s="10" t="s">
        <v>1573</v>
      </c>
      <c r="B774" s="10" t="s">
        <v>1574</v>
      </c>
      <c r="C774" s="10" t="s">
        <v>21</v>
      </c>
      <c r="D774" s="10" t="s">
        <v>22</v>
      </c>
      <c r="E774" s="11" t="n">
        <v>2799</v>
      </c>
      <c r="F774" s="11" t="n">
        <v>575</v>
      </c>
      <c r="G774" s="12" t="n">
        <v>0.79</v>
      </c>
      <c r="H774" s="13" t="n">
        <v>4.2</v>
      </c>
      <c r="I774" s="11" t="n">
        <v>8537</v>
      </c>
      <c r="J774" s="11" t="n">
        <f aca="false">E774-F774</f>
        <v>2224</v>
      </c>
      <c r="K774" s="10" t="str">
        <f aca="false">IF(G774&lt;0.2,"0-19%",IF(G774&lt;0.4,"20-39%",IF(G774&lt;0.6,"40-59%",IF(G774&lt;0.8,"60-79%","80%+"))))</f>
        <v>60-79%</v>
      </c>
      <c r="L774" s="10" t="str">
        <f aca="false">IF(H774="","No rating",IF(H774&lt;3.5,"Below 3.5",IF(H774&lt;4,"3.5-3.9",IF(H774&lt;4.5,"4.0-4.4","4.5+"))))</f>
        <v>4.0-4.4</v>
      </c>
    </row>
    <row r="775" customFormat="false" ht="15" hidden="false" customHeight="false" outlineLevel="0" collapsed="false">
      <c r="A775" s="10" t="s">
        <v>1575</v>
      </c>
      <c r="B775" s="10" t="s">
        <v>1576</v>
      </c>
      <c r="C775" s="10" t="s">
        <v>1177</v>
      </c>
      <c r="D775" s="10" t="s">
        <v>1178</v>
      </c>
      <c r="E775" s="11" t="n">
        <v>210</v>
      </c>
      <c r="F775" s="11" t="n">
        <v>178</v>
      </c>
      <c r="G775" s="12" t="n">
        <v>0.15</v>
      </c>
      <c r="H775" s="13" t="n">
        <v>4.3</v>
      </c>
      <c r="I775" s="11" t="n">
        <v>2450</v>
      </c>
      <c r="J775" s="11" t="n">
        <f aca="false">E775-F775</f>
        <v>32</v>
      </c>
      <c r="K775" s="10" t="str">
        <f aca="false">IF(G775&lt;0.2,"0-19%",IF(G775&lt;0.4,"20-39%",IF(G775&lt;0.6,"40-59%",IF(G775&lt;0.8,"60-79%","80%+"))))</f>
        <v>0-19%</v>
      </c>
      <c r="L775" s="10" t="str">
        <f aca="false">IF(H775="","No rating",IF(H775&lt;3.5,"Below 3.5",IF(H775&lt;4,"3.5-3.9",IF(H775&lt;4.5,"4.0-4.4","4.5+"))))</f>
        <v>4.0-4.4</v>
      </c>
    </row>
    <row r="776" customFormat="false" ht="15" hidden="false" customHeight="false" outlineLevel="0" collapsed="false">
      <c r="A776" s="10" t="s">
        <v>1577</v>
      </c>
      <c r="B776" s="10" t="s">
        <v>1578</v>
      </c>
      <c r="C776" s="10" t="s">
        <v>48</v>
      </c>
      <c r="D776" s="10" t="s">
        <v>722</v>
      </c>
      <c r="E776" s="11" t="n">
        <v>3490</v>
      </c>
      <c r="F776" s="11" t="n">
        <v>1599</v>
      </c>
      <c r="G776" s="12" t="n">
        <v>0.54</v>
      </c>
      <c r="H776" s="13" t="n">
        <v>3.7</v>
      </c>
      <c r="I776" s="11" t="n">
        <v>676</v>
      </c>
      <c r="J776" s="11" t="n">
        <f aca="false">E776-F776</f>
        <v>1891</v>
      </c>
      <c r="K776" s="10" t="str">
        <f aca="false">IF(G776&lt;0.2,"0-19%",IF(G776&lt;0.4,"20-39%",IF(G776&lt;0.6,"40-59%",IF(G776&lt;0.8,"60-79%","80%+"))))</f>
        <v>40-59%</v>
      </c>
      <c r="L776" s="10" t="str">
        <f aca="false">IF(H776="","No rating",IF(H776&lt;3.5,"Below 3.5",IF(H776&lt;4,"3.5-3.9",IF(H776&lt;4.5,"4.0-4.4","4.5+"))))</f>
        <v>3.5-3.9</v>
      </c>
    </row>
    <row r="777" customFormat="false" ht="15" hidden="false" customHeight="false" outlineLevel="0" collapsed="false">
      <c r="A777" s="10" t="s">
        <v>1579</v>
      </c>
      <c r="B777" s="10" t="s">
        <v>1580</v>
      </c>
      <c r="C777" s="10" t="s">
        <v>48</v>
      </c>
      <c r="D777" s="10" t="s">
        <v>722</v>
      </c>
      <c r="E777" s="11" t="n">
        <v>1299</v>
      </c>
      <c r="F777" s="11" t="n">
        <v>499</v>
      </c>
      <c r="G777" s="12" t="n">
        <v>0.62</v>
      </c>
      <c r="H777" s="13" t="n">
        <v>3.9</v>
      </c>
      <c r="I777" s="11" t="n">
        <v>1173</v>
      </c>
      <c r="J777" s="11" t="n">
        <f aca="false">E777-F777</f>
        <v>800</v>
      </c>
      <c r="K777" s="10" t="str">
        <f aca="false">IF(G777&lt;0.2,"0-19%",IF(G777&lt;0.4,"20-39%",IF(G777&lt;0.6,"40-59%",IF(G777&lt;0.8,"60-79%","80%+"))))</f>
        <v>60-79%</v>
      </c>
      <c r="L777" s="10" t="str">
        <f aca="false">IF(H777="","No rating",IF(H777&lt;3.5,"Below 3.5",IF(H777&lt;4,"3.5-3.9",IF(H777&lt;4.5,"4.0-4.4","4.5+"))))</f>
        <v>3.5-3.9</v>
      </c>
    </row>
    <row r="778" customFormat="false" ht="15" hidden="false" customHeight="false" outlineLevel="0" collapsed="false">
      <c r="A778" s="10" t="s">
        <v>1581</v>
      </c>
      <c r="B778" s="10" t="s">
        <v>1582</v>
      </c>
      <c r="C778" s="10" t="s">
        <v>21</v>
      </c>
      <c r="D778" s="10" t="s">
        <v>22</v>
      </c>
      <c r="E778" s="11" t="n">
        <v>499</v>
      </c>
      <c r="F778" s="11" t="n">
        <v>199</v>
      </c>
      <c r="G778" s="12" t="n">
        <v>0.6</v>
      </c>
      <c r="H778" s="13" t="n">
        <v>4.3</v>
      </c>
      <c r="I778" s="11" t="n">
        <v>9998</v>
      </c>
      <c r="J778" s="11" t="n">
        <f aca="false">E778-F778</f>
        <v>300</v>
      </c>
      <c r="K778" s="10" t="str">
        <f aca="false">IF(G778&lt;0.2,"0-19%",IF(G778&lt;0.4,"20-39%",IF(G778&lt;0.6,"40-59%",IF(G778&lt;0.8,"60-79%","80%+"))))</f>
        <v>60-79%</v>
      </c>
      <c r="L778" s="10" t="str">
        <f aca="false">IF(H778="","No rating",IF(H778&lt;3.5,"Below 3.5",IF(H778&lt;4,"3.5-3.9",IF(H778&lt;4.5,"4.0-4.4","4.5+"))))</f>
        <v>4.0-4.4</v>
      </c>
    </row>
    <row r="779" customFormat="false" ht="15" hidden="false" customHeight="false" outlineLevel="0" collapsed="false">
      <c r="A779" s="10" t="s">
        <v>1583</v>
      </c>
      <c r="B779" s="10" t="s">
        <v>1584</v>
      </c>
      <c r="C779" s="10" t="s">
        <v>48</v>
      </c>
      <c r="D779" s="10" t="s">
        <v>693</v>
      </c>
      <c r="E779" s="11" t="n">
        <v>5999</v>
      </c>
      <c r="F779" s="11" t="n">
        <v>2499</v>
      </c>
      <c r="G779" s="12" t="n">
        <v>0.58</v>
      </c>
      <c r="H779" s="13" t="n">
        <v>4.1</v>
      </c>
      <c r="I779" s="11" t="n">
        <v>5852</v>
      </c>
      <c r="J779" s="11" t="n">
        <f aca="false">E779-F779</f>
        <v>3500</v>
      </c>
      <c r="K779" s="10" t="str">
        <f aca="false">IF(G779&lt;0.2,"0-19%",IF(G779&lt;0.4,"20-39%",IF(G779&lt;0.6,"40-59%",IF(G779&lt;0.8,"60-79%","80%+"))))</f>
        <v>40-59%</v>
      </c>
      <c r="L779" s="10" t="str">
        <f aca="false">IF(H779="","No rating",IF(H779&lt;3.5,"Below 3.5",IF(H779&lt;4,"3.5-3.9",IF(H779&lt;4.5,"4.0-4.4","4.5+"))))</f>
        <v>4.0-4.4</v>
      </c>
    </row>
    <row r="780" customFormat="false" ht="15" hidden="false" customHeight="false" outlineLevel="0" collapsed="false">
      <c r="A780" s="10" t="s">
        <v>1585</v>
      </c>
      <c r="B780" s="10" t="s">
        <v>1586</v>
      </c>
      <c r="C780" s="10" t="s">
        <v>21</v>
      </c>
      <c r="D780" s="10" t="s">
        <v>1433</v>
      </c>
      <c r="E780" s="11" t="n">
        <v>999</v>
      </c>
      <c r="F780" s="11" t="n">
        <v>199</v>
      </c>
      <c r="G780" s="12" t="n">
        <v>0.8</v>
      </c>
      <c r="H780" s="13" t="n">
        <v>4.2</v>
      </c>
      <c r="I780" s="11" t="n">
        <v>362</v>
      </c>
      <c r="J780" s="11" t="n">
        <f aca="false">E780-F780</f>
        <v>800</v>
      </c>
      <c r="K780" s="10" t="str">
        <f aca="false">IF(G780&lt;0.2,"0-19%",IF(G780&lt;0.4,"20-39%",IF(G780&lt;0.6,"40-59%",IF(G780&lt;0.8,"60-79%","80%+"))))</f>
        <v>80%+</v>
      </c>
      <c r="L780" s="10" t="str">
        <f aca="false">IF(H780="","No rating",IF(H780&lt;3.5,"Below 3.5",IF(H780&lt;4,"3.5-3.9",IF(H780&lt;4.5,"4.0-4.4","4.5+"))))</f>
        <v>4.0-4.4</v>
      </c>
    </row>
    <row r="781" customFormat="false" ht="15" hidden="false" customHeight="false" outlineLevel="0" collapsed="false">
      <c r="A781" s="10" t="s">
        <v>1587</v>
      </c>
      <c r="B781" s="10" t="s">
        <v>1588</v>
      </c>
      <c r="C781" s="10" t="s">
        <v>48</v>
      </c>
      <c r="D781" s="10" t="s">
        <v>713</v>
      </c>
      <c r="E781" s="11" t="n">
        <v>1800</v>
      </c>
      <c r="F781" s="11" t="n">
        <v>939</v>
      </c>
      <c r="G781" s="12" t="n">
        <v>0.48</v>
      </c>
      <c r="H781" s="13" t="n">
        <v>4.5</v>
      </c>
      <c r="I781" s="11" t="n">
        <v>205052</v>
      </c>
      <c r="J781" s="11" t="n">
        <f aca="false">E781-F781</f>
        <v>861</v>
      </c>
      <c r="K781" s="10" t="str">
        <f aca="false">IF(G781&lt;0.2,"0-19%",IF(G781&lt;0.4,"20-39%",IF(G781&lt;0.6,"40-59%",IF(G781&lt;0.8,"60-79%","80%+"))))</f>
        <v>40-59%</v>
      </c>
      <c r="L781" s="10" t="str">
        <f aca="false">IF(H781="","No rating",IF(H781&lt;3.5,"Below 3.5",IF(H781&lt;4,"3.5-3.9",IF(H781&lt;4.5,"4.0-4.4","4.5+"))))</f>
        <v>4.5+</v>
      </c>
    </row>
    <row r="782" customFormat="false" ht="15" hidden="false" customHeight="false" outlineLevel="0" collapsed="false">
      <c r="A782" s="10" t="s">
        <v>1589</v>
      </c>
      <c r="B782" s="10" t="s">
        <v>1590</v>
      </c>
      <c r="C782" s="10" t="s">
        <v>48</v>
      </c>
      <c r="D782" s="10" t="s">
        <v>693</v>
      </c>
      <c r="E782" s="11" t="n">
        <v>9999</v>
      </c>
      <c r="F782" s="11" t="n">
        <v>2499</v>
      </c>
      <c r="G782" s="12" t="n">
        <v>0.75</v>
      </c>
      <c r="H782" s="13" t="n">
        <v>4</v>
      </c>
      <c r="I782" s="11" t="n">
        <v>9090</v>
      </c>
      <c r="J782" s="11" t="n">
        <f aca="false">E782-F782</f>
        <v>7500</v>
      </c>
      <c r="K782" s="10" t="str">
        <f aca="false">IF(G782&lt;0.2,"0-19%",IF(G782&lt;0.4,"20-39%",IF(G782&lt;0.6,"40-59%",IF(G782&lt;0.8,"60-79%","80%+"))))</f>
        <v>60-79%</v>
      </c>
      <c r="L782" s="10" t="str">
        <f aca="false">IF(H782="","No rating",IF(H782&lt;3.5,"Below 3.5",IF(H782&lt;4,"3.5-3.9",IF(H782&lt;4.5,"4.0-4.4","4.5+"))))</f>
        <v>4.0-4.4</v>
      </c>
    </row>
    <row r="783" customFormat="false" ht="15" hidden="false" customHeight="false" outlineLevel="0" collapsed="false">
      <c r="A783" s="10" t="s">
        <v>1591</v>
      </c>
      <c r="B783" s="10" t="s">
        <v>1592</v>
      </c>
      <c r="C783" s="10" t="s">
        <v>21</v>
      </c>
      <c r="D783" s="10" t="s">
        <v>22</v>
      </c>
      <c r="E783" s="11" t="n">
        <v>2890</v>
      </c>
      <c r="F783" s="11" t="n">
        <v>1439</v>
      </c>
      <c r="G783" s="12" t="n">
        <v>0.5</v>
      </c>
      <c r="H783" s="13" t="n">
        <v>4.5</v>
      </c>
      <c r="I783" s="11" t="n">
        <v>4099</v>
      </c>
      <c r="J783" s="11" t="n">
        <f aca="false">E783-F783</f>
        <v>1451</v>
      </c>
      <c r="K783" s="10" t="str">
        <f aca="false">IF(G783&lt;0.2,"0-19%",IF(G783&lt;0.4,"20-39%",IF(G783&lt;0.6,"40-59%",IF(G783&lt;0.8,"60-79%","80%+"))))</f>
        <v>40-59%</v>
      </c>
      <c r="L783" s="10" t="str">
        <f aca="false">IF(H783="","No rating",IF(H783&lt;3.5,"Below 3.5",IF(H783&lt;4,"3.5-3.9",IF(H783&lt;4.5,"4.0-4.4","4.5+"))))</f>
        <v>4.5+</v>
      </c>
    </row>
    <row r="784" customFormat="false" ht="15" hidden="false" customHeight="false" outlineLevel="0" collapsed="false">
      <c r="A784" s="10" t="s">
        <v>1593</v>
      </c>
      <c r="B784" s="10" t="s">
        <v>1594</v>
      </c>
      <c r="C784" s="10" t="s">
        <v>48</v>
      </c>
      <c r="D784" s="10" t="s">
        <v>722</v>
      </c>
      <c r="E784" s="11" t="n">
        <v>5999</v>
      </c>
      <c r="F784" s="11" t="n">
        <v>1099</v>
      </c>
      <c r="G784" s="12" t="n">
        <v>0.82</v>
      </c>
      <c r="H784" s="13" t="n">
        <v>3.5</v>
      </c>
      <c r="I784" s="11" t="n">
        <v>12966</v>
      </c>
      <c r="J784" s="11" t="n">
        <f aca="false">E784-F784</f>
        <v>4900</v>
      </c>
      <c r="K784" s="10" t="str">
        <f aca="false">IF(G784&lt;0.2,"0-19%",IF(G784&lt;0.4,"20-39%",IF(G784&lt;0.6,"40-59%",IF(G784&lt;0.8,"60-79%","80%+"))))</f>
        <v>80%+</v>
      </c>
      <c r="L784" s="10" t="str">
        <f aca="false">IF(H784="","No rating",IF(H784&lt;3.5,"Below 3.5",IF(H784&lt;4,"3.5-3.9",IF(H784&lt;4.5,"4.0-4.4","4.5+"))))</f>
        <v>3.5-3.9</v>
      </c>
    </row>
    <row r="785" customFormat="false" ht="15" hidden="false" customHeight="false" outlineLevel="0" collapsed="false">
      <c r="A785" s="10" t="s">
        <v>1595</v>
      </c>
      <c r="B785" s="10" t="s">
        <v>1596</v>
      </c>
      <c r="C785" s="10" t="s">
        <v>1177</v>
      </c>
      <c r="D785" s="10" t="s">
        <v>1178</v>
      </c>
      <c r="E785" s="11" t="n">
        <v>160</v>
      </c>
      <c r="F785" s="11" t="n">
        <v>157</v>
      </c>
      <c r="G785" s="12" t="n">
        <v>0.02</v>
      </c>
      <c r="H785" s="13" t="n">
        <v>4.5</v>
      </c>
      <c r="I785" s="11" t="n">
        <v>4428</v>
      </c>
      <c r="J785" s="11" t="n">
        <f aca="false">E785-F785</f>
        <v>3</v>
      </c>
      <c r="K785" s="10" t="str">
        <f aca="false">IF(G785&lt;0.2,"0-19%",IF(G785&lt;0.4,"20-39%",IF(G785&lt;0.6,"40-59%",IF(G785&lt;0.8,"60-79%","80%+"))))</f>
        <v>0-19%</v>
      </c>
      <c r="L785" s="10" t="str">
        <f aca="false">IF(H785="","No rating",IF(H785&lt;3.5,"Below 3.5",IF(H785&lt;4,"3.5-3.9",IF(H785&lt;4.5,"4.0-4.4","4.5+"))))</f>
        <v>4.5+</v>
      </c>
    </row>
    <row r="786" customFormat="false" ht="15" hidden="false" customHeight="false" outlineLevel="0" collapsed="false">
      <c r="A786" s="10" t="s">
        <v>1597</v>
      </c>
      <c r="B786" s="10" t="s">
        <v>1598</v>
      </c>
      <c r="C786" s="10" t="s">
        <v>21</v>
      </c>
      <c r="D786" s="10" t="s">
        <v>22</v>
      </c>
      <c r="E786" s="11" t="n">
        <v>999</v>
      </c>
      <c r="F786" s="11" t="n">
        <v>115</v>
      </c>
      <c r="G786" s="12" t="n">
        <v>0.88</v>
      </c>
      <c r="H786" s="13" t="n">
        <v>3.3</v>
      </c>
      <c r="I786" s="11" t="n">
        <v>5692</v>
      </c>
      <c r="J786" s="11" t="n">
        <f aca="false">E786-F786</f>
        <v>884</v>
      </c>
      <c r="K786" s="10" t="str">
        <f aca="false">IF(G786&lt;0.2,"0-19%",IF(G786&lt;0.4,"20-39%",IF(G786&lt;0.6,"40-59%",IF(G786&lt;0.8,"60-79%","80%+"))))</f>
        <v>80%+</v>
      </c>
      <c r="L786" s="10" t="str">
        <f aca="false">IF(H786="","No rating",IF(H786&lt;3.5,"Below 3.5",IF(H786&lt;4,"3.5-3.9",IF(H786&lt;4.5,"4.0-4.4","4.5+"))))</f>
        <v>Below 3.5</v>
      </c>
    </row>
    <row r="787" customFormat="false" ht="15" hidden="false" customHeight="false" outlineLevel="0" collapsed="false">
      <c r="A787" s="10" t="s">
        <v>1599</v>
      </c>
      <c r="B787" s="10" t="s">
        <v>1600</v>
      </c>
      <c r="C787" s="10" t="s">
        <v>21</v>
      </c>
      <c r="D787" s="10" t="s">
        <v>22</v>
      </c>
      <c r="E787" s="11" t="n">
        <v>499</v>
      </c>
      <c r="F787" s="11" t="n">
        <v>175</v>
      </c>
      <c r="G787" s="12" t="n">
        <v>0.65</v>
      </c>
      <c r="H787" s="13" t="n">
        <v>4.1</v>
      </c>
      <c r="I787" s="11" t="n">
        <v>21</v>
      </c>
      <c r="J787" s="11" t="n">
        <f aca="false">E787-F787</f>
        <v>324</v>
      </c>
      <c r="K787" s="10" t="str">
        <f aca="false">IF(G787&lt;0.2,"0-19%",IF(G787&lt;0.4,"20-39%",IF(G787&lt;0.6,"40-59%",IF(G787&lt;0.8,"60-79%","80%+"))))</f>
        <v>60-79%</v>
      </c>
      <c r="L787" s="10" t="str">
        <f aca="false">IF(H787="","No rating",IF(H787&lt;3.5,"Below 3.5",IF(H787&lt;4,"3.5-3.9",IF(H787&lt;4.5,"4.0-4.4","4.5+"))))</f>
        <v>4.0-4.4</v>
      </c>
    </row>
    <row r="788" customFormat="false" ht="15" hidden="false" customHeight="false" outlineLevel="0" collapsed="false">
      <c r="A788" s="10" t="s">
        <v>1601</v>
      </c>
      <c r="B788" s="10" t="s">
        <v>1602</v>
      </c>
      <c r="C788" s="10" t="s">
        <v>48</v>
      </c>
      <c r="D788" s="10" t="s">
        <v>1193</v>
      </c>
      <c r="E788" s="11" t="n">
        <v>4700</v>
      </c>
      <c r="F788" s="11" t="n">
        <v>1999</v>
      </c>
      <c r="G788" s="12" t="n">
        <v>0.57</v>
      </c>
      <c r="H788" s="13" t="n">
        <v>3.8</v>
      </c>
      <c r="I788" s="11" t="n">
        <v>1880</v>
      </c>
      <c r="J788" s="11" t="n">
        <f aca="false">E788-F788</f>
        <v>2701</v>
      </c>
      <c r="K788" s="10" t="str">
        <f aca="false">IF(G788&lt;0.2,"0-19%",IF(G788&lt;0.4,"20-39%",IF(G788&lt;0.6,"40-59%",IF(G788&lt;0.8,"60-79%","80%+"))))</f>
        <v>40-59%</v>
      </c>
      <c r="L788" s="10" t="str">
        <f aca="false">IF(H788="","No rating",IF(H788&lt;3.5,"Below 3.5",IF(H788&lt;4,"3.5-3.9",IF(H788&lt;4.5,"4.0-4.4","4.5+"))))</f>
        <v>3.5-3.9</v>
      </c>
    </row>
    <row r="789" customFormat="false" ht="15" hidden="false" customHeight="false" outlineLevel="0" collapsed="false">
      <c r="A789" s="10" t="s">
        <v>1603</v>
      </c>
      <c r="B789" s="10" t="s">
        <v>1604</v>
      </c>
      <c r="C789" s="10" t="s">
        <v>21</v>
      </c>
      <c r="D789" s="10" t="s">
        <v>1217</v>
      </c>
      <c r="E789" s="11" t="n">
        <v>4332.96</v>
      </c>
      <c r="F789" s="11" t="n">
        <v>3999</v>
      </c>
      <c r="G789" s="12" t="n">
        <v>0.08</v>
      </c>
      <c r="H789" s="13" t="n">
        <v>3.5</v>
      </c>
      <c r="I789" s="11" t="n">
        <v>21762</v>
      </c>
      <c r="J789" s="11" t="n">
        <f aca="false">E789-F789</f>
        <v>333.96</v>
      </c>
      <c r="K789" s="10" t="str">
        <f aca="false">IF(G789&lt;0.2,"0-19%",IF(G789&lt;0.4,"20-39%",IF(G789&lt;0.6,"40-59%",IF(G789&lt;0.8,"60-79%","80%+"))))</f>
        <v>0-19%</v>
      </c>
      <c r="L789" s="10" t="str">
        <f aca="false">IF(H789="","No rating",IF(H789&lt;3.5,"Below 3.5",IF(H789&lt;4,"3.5-3.9",IF(H789&lt;4.5,"4.0-4.4","4.5+"))))</f>
        <v>3.5-3.9</v>
      </c>
    </row>
    <row r="790" customFormat="false" ht="15" hidden="false" customHeight="false" outlineLevel="0" collapsed="false">
      <c r="A790" s="10" t="s">
        <v>1605</v>
      </c>
      <c r="B790" s="10" t="s">
        <v>1606</v>
      </c>
      <c r="C790" s="10" t="s">
        <v>21</v>
      </c>
      <c r="D790" s="10" t="s">
        <v>39</v>
      </c>
      <c r="E790" s="11" t="n">
        <v>1800</v>
      </c>
      <c r="F790" s="11" t="n">
        <v>899</v>
      </c>
      <c r="G790" s="12" t="n">
        <v>0.5</v>
      </c>
      <c r="H790" s="13" t="n">
        <v>4.1</v>
      </c>
      <c r="I790" s="11" t="n">
        <v>22375</v>
      </c>
      <c r="J790" s="11" t="n">
        <f aca="false">E790-F790</f>
        <v>901</v>
      </c>
      <c r="K790" s="10" t="str">
        <f aca="false">IF(G790&lt;0.2,"0-19%",IF(G790&lt;0.4,"20-39%",IF(G790&lt;0.6,"40-59%",IF(G790&lt;0.8,"60-79%","80%+"))))</f>
        <v>40-59%</v>
      </c>
      <c r="L790" s="10" t="str">
        <f aca="false">IF(H790="","No rating",IF(H790&lt;3.5,"Below 3.5",IF(H790&lt;4,"3.5-3.9",IF(H790&lt;4.5,"4.0-4.4","4.5+"))))</f>
        <v>4.0-4.4</v>
      </c>
    </row>
    <row r="791" customFormat="false" ht="15" hidden="false" customHeight="false" outlineLevel="0" collapsed="false">
      <c r="A791" s="10" t="s">
        <v>1607</v>
      </c>
      <c r="B791" s="10" t="s">
        <v>1608</v>
      </c>
      <c r="C791" s="10" t="s">
        <v>21</v>
      </c>
      <c r="D791" s="10" t="s">
        <v>22</v>
      </c>
      <c r="E791" s="11" t="n">
        <v>990</v>
      </c>
      <c r="F791" s="11" t="n">
        <v>299</v>
      </c>
      <c r="G791" s="12" t="n">
        <v>0.7</v>
      </c>
      <c r="H791" s="13" t="n">
        <v>4.5</v>
      </c>
      <c r="I791" s="11" t="n">
        <v>2453</v>
      </c>
      <c r="J791" s="11" t="n">
        <f aca="false">E791-F791</f>
        <v>691</v>
      </c>
      <c r="K791" s="10" t="str">
        <f aca="false">IF(G791&lt;0.2,"0-19%",IF(G791&lt;0.4,"20-39%",IF(G791&lt;0.6,"40-59%",IF(G791&lt;0.8,"60-79%","80%+"))))</f>
        <v>60-79%</v>
      </c>
      <c r="L791" s="10" t="str">
        <f aca="false">IF(H791="","No rating",IF(H791&lt;3.5,"Below 3.5",IF(H791&lt;4,"3.5-3.9",IF(H791&lt;4.5,"4.0-4.4","4.5+"))))</f>
        <v>4.5+</v>
      </c>
    </row>
    <row r="792" customFormat="false" ht="15" hidden="false" customHeight="false" outlineLevel="0" collapsed="false">
      <c r="A792" s="10" t="s">
        <v>1609</v>
      </c>
      <c r="B792" s="10" t="s">
        <v>1610</v>
      </c>
      <c r="C792" s="10" t="s">
        <v>21</v>
      </c>
      <c r="D792" s="10" t="s">
        <v>22</v>
      </c>
      <c r="E792" s="11" t="n">
        <v>4699</v>
      </c>
      <c r="F792" s="11" t="n">
        <v>3303</v>
      </c>
      <c r="G792" s="12" t="n">
        <v>0.3</v>
      </c>
      <c r="H792" s="13" t="n">
        <v>4.4</v>
      </c>
      <c r="I792" s="11" t="n">
        <v>13544</v>
      </c>
      <c r="J792" s="11" t="n">
        <f aca="false">E792-F792</f>
        <v>1396</v>
      </c>
      <c r="K792" s="10" t="str">
        <f aca="false">IF(G792&lt;0.2,"0-19%",IF(G792&lt;0.4,"20-39%",IF(G792&lt;0.6,"40-59%",IF(G792&lt;0.8,"60-79%","80%+"))))</f>
        <v>20-39%</v>
      </c>
      <c r="L792" s="10" t="str">
        <f aca="false">IF(H792="","No rating",IF(H792&lt;3.5,"Below 3.5",IF(H792&lt;4,"3.5-3.9",IF(H792&lt;4.5,"4.0-4.4","4.5+"))))</f>
        <v>4.0-4.4</v>
      </c>
    </row>
    <row r="793" customFormat="false" ht="15" hidden="false" customHeight="false" outlineLevel="0" collapsed="false">
      <c r="A793" s="10" t="s">
        <v>1611</v>
      </c>
      <c r="B793" s="10" t="s">
        <v>1612</v>
      </c>
      <c r="C793" s="10" t="s">
        <v>21</v>
      </c>
      <c r="D793" s="10" t="s">
        <v>22</v>
      </c>
      <c r="E793" s="11" t="n">
        <v>5490</v>
      </c>
      <c r="F793" s="11" t="n">
        <v>1890</v>
      </c>
      <c r="G793" s="12" t="n">
        <v>0.66</v>
      </c>
      <c r="H793" s="13" t="n">
        <v>4.1</v>
      </c>
      <c r="I793" s="11" t="n">
        <v>10976</v>
      </c>
      <c r="J793" s="11" t="n">
        <f aca="false">E793-F793</f>
        <v>3600</v>
      </c>
      <c r="K793" s="10" t="str">
        <f aca="false">IF(G793&lt;0.2,"0-19%",IF(G793&lt;0.4,"20-39%",IF(G793&lt;0.6,"40-59%",IF(G793&lt;0.8,"60-79%","80%+"))))</f>
        <v>60-79%</v>
      </c>
      <c r="L793" s="10" t="str">
        <f aca="false">IF(H793="","No rating",IF(H793&lt;3.5,"Below 3.5",IF(H793&lt;4,"3.5-3.9",IF(H793&lt;4.5,"4.0-4.4","4.5+"))))</f>
        <v>4.0-4.4</v>
      </c>
    </row>
    <row r="794" customFormat="false" ht="15" hidden="false" customHeight="false" outlineLevel="0" collapsed="false">
      <c r="A794" s="10" t="s">
        <v>1613</v>
      </c>
      <c r="B794" s="10" t="s">
        <v>1614</v>
      </c>
      <c r="C794" s="10" t="s">
        <v>1177</v>
      </c>
      <c r="D794" s="10" t="s">
        <v>1178</v>
      </c>
      <c r="E794" s="11" t="n">
        <v>100</v>
      </c>
      <c r="F794" s="11" t="n">
        <v>90</v>
      </c>
      <c r="G794" s="12" t="n">
        <v>0.1</v>
      </c>
      <c r="H794" s="13" t="n">
        <v>4.3</v>
      </c>
      <c r="I794" s="11" t="n">
        <v>3061</v>
      </c>
      <c r="J794" s="11" t="n">
        <f aca="false">E794-F794</f>
        <v>10</v>
      </c>
      <c r="K794" s="10" t="str">
        <f aca="false">IF(G794&lt;0.2,"0-19%",IF(G794&lt;0.4,"20-39%",IF(G794&lt;0.6,"40-59%",IF(G794&lt;0.8,"60-79%","80%+"))))</f>
        <v>0-19%</v>
      </c>
      <c r="L794" s="10" t="str">
        <f aca="false">IF(H794="","No rating",IF(H794&lt;3.5,"Below 3.5",IF(H794&lt;4,"3.5-3.9",IF(H794&lt;4.5,"4.0-4.4","4.5+"))))</f>
        <v>4.0-4.4</v>
      </c>
    </row>
    <row r="795" customFormat="false" ht="15" hidden="false" customHeight="false" outlineLevel="0" collapsed="false">
      <c r="A795" s="10" t="s">
        <v>1615</v>
      </c>
      <c r="B795" s="10" t="s">
        <v>1616</v>
      </c>
      <c r="C795" s="10" t="s">
        <v>48</v>
      </c>
      <c r="D795" s="10" t="s">
        <v>722</v>
      </c>
      <c r="E795" s="11" t="n">
        <v>2790</v>
      </c>
      <c r="F795" s="11" t="n">
        <v>1599</v>
      </c>
      <c r="G795" s="12" t="n">
        <v>0.43</v>
      </c>
      <c r="H795" s="13" t="n">
        <v>3.6</v>
      </c>
      <c r="I795" s="11" t="n">
        <v>2272</v>
      </c>
      <c r="J795" s="11" t="n">
        <f aca="false">E795-F795</f>
        <v>1191</v>
      </c>
      <c r="K795" s="10" t="str">
        <f aca="false">IF(G795&lt;0.2,"0-19%",IF(G795&lt;0.4,"20-39%",IF(G795&lt;0.6,"40-59%",IF(G795&lt;0.8,"60-79%","80%+"))))</f>
        <v>40-59%</v>
      </c>
      <c r="L795" s="10" t="str">
        <f aca="false">IF(H795="","No rating",IF(H795&lt;3.5,"Below 3.5",IF(H795&lt;4,"3.5-3.9",IF(H795&lt;4.5,"4.0-4.4","4.5+"))))</f>
        <v>3.5-3.9</v>
      </c>
    </row>
    <row r="796" customFormat="false" ht="15" hidden="false" customHeight="false" outlineLevel="0" collapsed="false">
      <c r="A796" s="10" t="s">
        <v>1617</v>
      </c>
      <c r="B796" s="10" t="s">
        <v>1618</v>
      </c>
      <c r="C796" s="10" t="s">
        <v>21</v>
      </c>
      <c r="D796" s="10" t="s">
        <v>22</v>
      </c>
      <c r="E796" s="11" t="n">
        <v>999</v>
      </c>
      <c r="F796" s="11" t="n">
        <v>599</v>
      </c>
      <c r="G796" s="12" t="n">
        <v>0.4</v>
      </c>
      <c r="H796" s="13" t="n">
        <v>4</v>
      </c>
      <c r="I796" s="11" t="n">
        <v>7601</v>
      </c>
      <c r="J796" s="11" t="n">
        <f aca="false">E796-F796</f>
        <v>400</v>
      </c>
      <c r="K796" s="10" t="str">
        <f aca="false">IF(G796&lt;0.2,"0-19%",IF(G796&lt;0.4,"20-39%",IF(G796&lt;0.6,"40-59%",IF(G796&lt;0.8,"60-79%","80%+"))))</f>
        <v>40-59%</v>
      </c>
      <c r="L796" s="10" t="str">
        <f aca="false">IF(H796="","No rating",IF(H796&lt;3.5,"Below 3.5",IF(H796&lt;4,"3.5-3.9",IF(H796&lt;4.5,"4.0-4.4","4.5+"))))</f>
        <v>4.0-4.4</v>
      </c>
    </row>
    <row r="797" customFormat="false" ht="15" hidden="false" customHeight="false" outlineLevel="0" collapsed="false">
      <c r="A797" s="10" t="s">
        <v>1619</v>
      </c>
      <c r="B797" s="10" t="s">
        <v>1620</v>
      </c>
      <c r="C797" s="10" t="s">
        <v>21</v>
      </c>
      <c r="D797" s="10" t="s">
        <v>22</v>
      </c>
      <c r="E797" s="11" t="n">
        <v>899</v>
      </c>
      <c r="F797" s="11" t="n">
        <v>425</v>
      </c>
      <c r="G797" s="12" t="n">
        <v>0.53</v>
      </c>
      <c r="H797" s="13" t="n">
        <v>4.5</v>
      </c>
      <c r="I797" s="11" t="n">
        <v>4219</v>
      </c>
      <c r="J797" s="11" t="n">
        <f aca="false">E797-F797</f>
        <v>474</v>
      </c>
      <c r="K797" s="10" t="str">
        <f aca="false">IF(G797&lt;0.2,"0-19%",IF(G797&lt;0.4,"20-39%",IF(G797&lt;0.6,"40-59%",IF(G797&lt;0.8,"60-79%","80%+"))))</f>
        <v>40-59%</v>
      </c>
      <c r="L797" s="10" t="str">
        <f aca="false">IF(H797="","No rating",IF(H797&lt;3.5,"Below 3.5",IF(H797&lt;4,"3.5-3.9",IF(H797&lt;4.5,"4.0-4.4","4.5+"))))</f>
        <v>4.5+</v>
      </c>
    </row>
    <row r="798" customFormat="false" ht="15" hidden="false" customHeight="false" outlineLevel="0" collapsed="false">
      <c r="A798" s="10" t="s">
        <v>1621</v>
      </c>
      <c r="B798" s="10" t="s">
        <v>1622</v>
      </c>
      <c r="C798" s="10" t="s">
        <v>48</v>
      </c>
      <c r="D798" s="10" t="s">
        <v>722</v>
      </c>
      <c r="E798" s="11" t="n">
        <v>3999</v>
      </c>
      <c r="F798" s="11" t="n">
        <v>1499</v>
      </c>
      <c r="G798" s="12" t="n">
        <v>0.63</v>
      </c>
      <c r="H798" s="13" t="n">
        <v>4.2</v>
      </c>
      <c r="I798" s="11" t="n">
        <v>42775</v>
      </c>
      <c r="J798" s="11" t="n">
        <f aca="false">E798-F798</f>
        <v>2500</v>
      </c>
      <c r="K798" s="10" t="str">
        <f aca="false">IF(G798&lt;0.2,"0-19%",IF(G798&lt;0.4,"20-39%",IF(G798&lt;0.6,"40-59%",IF(G798&lt;0.8,"60-79%","80%+"))))</f>
        <v>60-79%</v>
      </c>
      <c r="L798" s="10" t="str">
        <f aca="false">IF(H798="","No rating",IF(H798&lt;3.5,"Below 3.5",IF(H798&lt;4,"3.5-3.9",IF(H798&lt;4.5,"4.0-4.4","4.5+"))))</f>
        <v>4.0-4.4</v>
      </c>
    </row>
    <row r="799" customFormat="false" ht="15" hidden="false" customHeight="false" outlineLevel="0" collapsed="false">
      <c r="A799" s="10" t="s">
        <v>1623</v>
      </c>
      <c r="B799" s="10" t="s">
        <v>1624</v>
      </c>
      <c r="C799" s="10" t="s">
        <v>21</v>
      </c>
      <c r="D799" s="10" t="s">
        <v>22</v>
      </c>
      <c r="E799" s="11" t="n">
        <v>2499</v>
      </c>
      <c r="F799" s="11" t="n">
        <v>549</v>
      </c>
      <c r="G799" s="12" t="n">
        <v>0.78</v>
      </c>
      <c r="H799" s="13" t="n">
        <v>4.3</v>
      </c>
      <c r="I799" s="11" t="n">
        <v>5556</v>
      </c>
      <c r="J799" s="11" t="n">
        <f aca="false">E799-F799</f>
        <v>1950</v>
      </c>
      <c r="K799" s="10" t="str">
        <f aca="false">IF(G799&lt;0.2,"0-19%",IF(G799&lt;0.4,"20-39%",IF(G799&lt;0.6,"40-59%",IF(G799&lt;0.8,"60-79%","80%+"))))</f>
        <v>60-79%</v>
      </c>
      <c r="L799" s="10" t="str">
        <f aca="false">IF(H799="","No rating",IF(H799&lt;3.5,"Below 3.5",IF(H799&lt;4,"3.5-3.9",IF(H799&lt;4.5,"4.0-4.4","4.5+"))))</f>
        <v>4.0-4.4</v>
      </c>
    </row>
    <row r="800" customFormat="false" ht="15" hidden="false" customHeight="false" outlineLevel="0" collapsed="false">
      <c r="A800" s="10" t="s">
        <v>1625</v>
      </c>
      <c r="B800" s="10" t="s">
        <v>1626</v>
      </c>
      <c r="C800" s="10" t="s">
        <v>21</v>
      </c>
      <c r="D800" s="10" t="s">
        <v>22</v>
      </c>
      <c r="E800" s="11" t="n">
        <v>1645</v>
      </c>
      <c r="F800" s="11" t="n">
        <v>1295</v>
      </c>
      <c r="G800" s="12" t="n">
        <v>0.21</v>
      </c>
      <c r="H800" s="13" t="n">
        <v>4.6</v>
      </c>
      <c r="I800" s="11" t="n">
        <v>12375</v>
      </c>
      <c r="J800" s="11" t="n">
        <f aca="false">E800-F800</f>
        <v>350</v>
      </c>
      <c r="K800" s="10" t="str">
        <f aca="false">IF(G800&lt;0.2,"0-19%",IF(G800&lt;0.4,"20-39%",IF(G800&lt;0.6,"40-59%",IF(G800&lt;0.8,"60-79%","80%+"))))</f>
        <v>20-39%</v>
      </c>
      <c r="L800" s="10" t="str">
        <f aca="false">IF(H800="","No rating",IF(H800&lt;3.5,"Below 3.5",IF(H800&lt;4,"3.5-3.9",IF(H800&lt;4.5,"4.0-4.4","4.5+"))))</f>
        <v>4.5+</v>
      </c>
    </row>
    <row r="801" customFormat="false" ht="15" hidden="false" customHeight="false" outlineLevel="0" collapsed="false">
      <c r="A801" s="10" t="s">
        <v>1627</v>
      </c>
      <c r="B801" s="10" t="s">
        <v>1628</v>
      </c>
      <c r="C801" s="10" t="s">
        <v>1181</v>
      </c>
      <c r="D801" s="10" t="s">
        <v>1182</v>
      </c>
      <c r="E801" s="11" t="n">
        <v>310</v>
      </c>
      <c r="F801" s="11" t="n">
        <v>310</v>
      </c>
      <c r="G801" s="12" t="n">
        <v>0</v>
      </c>
      <c r="H801" s="13" t="n">
        <v>4.5</v>
      </c>
      <c r="I801" s="11" t="n">
        <v>5882</v>
      </c>
      <c r="J801" s="11" t="n">
        <f aca="false">E801-F801</f>
        <v>0</v>
      </c>
      <c r="K801" s="10" t="str">
        <f aca="false">IF(G801&lt;0.2,"0-19%",IF(G801&lt;0.4,"20-39%",IF(G801&lt;0.6,"40-59%",IF(G801&lt;0.8,"60-79%","80%+"))))</f>
        <v>0-19%</v>
      </c>
      <c r="L801" s="10" t="str">
        <f aca="false">IF(H801="","No rating",IF(H801&lt;3.5,"Below 3.5",IF(H801&lt;4,"3.5-3.9",IF(H801&lt;4.5,"4.0-4.4","4.5+"))))</f>
        <v>4.5+</v>
      </c>
    </row>
    <row r="802" customFormat="false" ht="15" hidden="false" customHeight="false" outlineLevel="0" collapsed="false">
      <c r="A802" s="10" t="s">
        <v>1629</v>
      </c>
      <c r="B802" s="10" t="s">
        <v>1630</v>
      </c>
      <c r="C802" s="10" t="s">
        <v>21</v>
      </c>
      <c r="D802" s="10" t="s">
        <v>22</v>
      </c>
      <c r="E802" s="11" t="n">
        <v>1499</v>
      </c>
      <c r="F802" s="11" t="n">
        <v>1149</v>
      </c>
      <c r="G802" s="12" t="n">
        <v>0.23</v>
      </c>
      <c r="H802" s="13" t="n">
        <v>4.1</v>
      </c>
      <c r="I802" s="11" t="n">
        <v>10443</v>
      </c>
      <c r="J802" s="11" t="n">
        <f aca="false">E802-F802</f>
        <v>350</v>
      </c>
      <c r="K802" s="10" t="str">
        <f aca="false">IF(G802&lt;0.2,"0-19%",IF(G802&lt;0.4,"20-39%",IF(G802&lt;0.6,"40-59%",IF(G802&lt;0.8,"60-79%","80%+"))))</f>
        <v>20-39%</v>
      </c>
      <c r="L802" s="10" t="str">
        <f aca="false">IF(H802="","No rating",IF(H802&lt;3.5,"Below 3.5",IF(H802&lt;4,"3.5-3.9",IF(H802&lt;4.5,"4.0-4.4","4.5+"))))</f>
        <v>4.0-4.4</v>
      </c>
    </row>
    <row r="803" customFormat="false" ht="15" hidden="false" customHeight="false" outlineLevel="0" collapsed="false">
      <c r="A803" s="10" t="s">
        <v>1631</v>
      </c>
      <c r="B803" s="10" t="s">
        <v>1632</v>
      </c>
      <c r="C803" s="10" t="s">
        <v>21</v>
      </c>
      <c r="D803" s="10" t="s">
        <v>22</v>
      </c>
      <c r="E803" s="11" t="n">
        <v>1299</v>
      </c>
      <c r="F803" s="11" t="n">
        <v>499</v>
      </c>
      <c r="G803" s="12" t="n">
        <v>0.62</v>
      </c>
      <c r="H803" s="13" t="n">
        <v>4.5</v>
      </c>
      <c r="I803" s="11" t="n">
        <v>434</v>
      </c>
      <c r="J803" s="11" t="n">
        <f aca="false">E803-F803</f>
        <v>800</v>
      </c>
      <c r="K803" s="10" t="str">
        <f aca="false">IF(G803&lt;0.2,"0-19%",IF(G803&lt;0.4,"20-39%",IF(G803&lt;0.6,"40-59%",IF(G803&lt;0.8,"60-79%","80%+"))))</f>
        <v>60-79%</v>
      </c>
      <c r="L803" s="10" t="str">
        <f aca="false">IF(H803="","No rating",IF(H803&lt;3.5,"Below 3.5",IF(H803&lt;4,"3.5-3.9",IF(H803&lt;4.5,"4.0-4.4","4.5+"))))</f>
        <v>4.5+</v>
      </c>
    </row>
    <row r="804" customFormat="false" ht="15" hidden="false" customHeight="false" outlineLevel="0" collapsed="false">
      <c r="A804" s="10" t="s">
        <v>1633</v>
      </c>
      <c r="B804" s="10" t="s">
        <v>1634</v>
      </c>
      <c r="C804" s="10" t="s">
        <v>48</v>
      </c>
      <c r="D804" s="10" t="s">
        <v>722</v>
      </c>
      <c r="E804" s="11" t="n">
        <v>4199</v>
      </c>
      <c r="F804" s="11" t="n">
        <v>999</v>
      </c>
      <c r="G804" s="12" t="n">
        <v>0.76</v>
      </c>
      <c r="H804" s="13" t="n">
        <v>3.5</v>
      </c>
      <c r="I804" s="11" t="n">
        <v>1913</v>
      </c>
      <c r="J804" s="11" t="n">
        <f aca="false">E804-F804</f>
        <v>3200</v>
      </c>
      <c r="K804" s="10" t="str">
        <f aca="false">IF(G804&lt;0.2,"0-19%",IF(G804&lt;0.4,"20-39%",IF(G804&lt;0.6,"40-59%",IF(G804&lt;0.8,"60-79%","80%+"))))</f>
        <v>60-79%</v>
      </c>
      <c r="L804" s="10" t="str">
        <f aca="false">IF(H804="","No rating",IF(H804&lt;3.5,"Below 3.5",IF(H804&lt;4,"3.5-3.9",IF(H804&lt;4.5,"4.0-4.4","4.5+"))))</f>
        <v>3.5-3.9</v>
      </c>
    </row>
    <row r="805" customFormat="false" ht="15" hidden="false" customHeight="false" outlineLevel="0" collapsed="false">
      <c r="A805" s="10" t="s">
        <v>1635</v>
      </c>
      <c r="B805" s="10" t="s">
        <v>1636</v>
      </c>
      <c r="C805" s="10" t="s">
        <v>21</v>
      </c>
      <c r="D805" s="10" t="s">
        <v>1433</v>
      </c>
      <c r="E805" s="11" t="n">
        <v>4000</v>
      </c>
      <c r="F805" s="11" t="n">
        <v>1709</v>
      </c>
      <c r="G805" s="12" t="n">
        <v>0.57</v>
      </c>
      <c r="H805" s="13" t="n">
        <v>4.4</v>
      </c>
      <c r="I805" s="11" t="n">
        <v>3029</v>
      </c>
      <c r="J805" s="11" t="n">
        <f aca="false">E805-F805</f>
        <v>2291</v>
      </c>
      <c r="K805" s="10" t="str">
        <f aca="false">IF(G805&lt;0.2,"0-19%",IF(G805&lt;0.4,"20-39%",IF(G805&lt;0.6,"40-59%",IF(G805&lt;0.8,"60-79%","80%+"))))</f>
        <v>40-59%</v>
      </c>
      <c r="L805" s="10" t="str">
        <f aca="false">IF(H805="","No rating",IF(H805&lt;3.5,"Below 3.5",IF(H805&lt;4,"3.5-3.9",IF(H805&lt;4.5,"4.0-4.4","4.5+"))))</f>
        <v>4.0-4.4</v>
      </c>
    </row>
    <row r="806" customFormat="false" ht="15" hidden="false" customHeight="false" outlineLevel="0" collapsed="false">
      <c r="A806" s="10" t="s">
        <v>1637</v>
      </c>
      <c r="B806" s="10" t="s">
        <v>1638</v>
      </c>
      <c r="C806" s="10" t="s">
        <v>1177</v>
      </c>
      <c r="D806" s="10" t="s">
        <v>1178</v>
      </c>
      <c r="E806" s="11" t="n">
        <v>250</v>
      </c>
      <c r="F806" s="11" t="n">
        <v>250</v>
      </c>
      <c r="G806" s="12" t="n">
        <v>0</v>
      </c>
      <c r="H806" s="13" t="n">
        <v>4.2</v>
      </c>
      <c r="I806" s="11" t="n">
        <v>2628</v>
      </c>
      <c r="J806" s="11" t="n">
        <f aca="false">E806-F806</f>
        <v>0</v>
      </c>
      <c r="K806" s="10" t="str">
        <f aca="false">IF(G806&lt;0.2,"0-19%",IF(G806&lt;0.4,"20-39%",IF(G806&lt;0.6,"40-59%",IF(G806&lt;0.8,"60-79%","80%+"))))</f>
        <v>0-19%</v>
      </c>
      <c r="L806" s="10" t="str">
        <f aca="false">IF(H806="","No rating",IF(H806&lt;3.5,"Below 3.5",IF(H806&lt;4,"3.5-3.9",IF(H806&lt;4.5,"4.0-4.4","4.5+"))))</f>
        <v>4.0-4.4</v>
      </c>
    </row>
    <row r="807" customFormat="false" ht="15" hidden="false" customHeight="false" outlineLevel="0" collapsed="false">
      <c r="A807" s="10" t="s">
        <v>1639</v>
      </c>
      <c r="B807" s="10" t="s">
        <v>1640</v>
      </c>
      <c r="C807" s="10" t="s">
        <v>1181</v>
      </c>
      <c r="D807" s="10" t="s">
        <v>1182</v>
      </c>
      <c r="E807" s="11" t="n">
        <v>100</v>
      </c>
      <c r="F807" s="11" t="n">
        <v>90</v>
      </c>
      <c r="G807" s="12" t="n">
        <v>0.1</v>
      </c>
      <c r="H807" s="13" t="n">
        <v>4.4</v>
      </c>
      <c r="I807" s="11" t="n">
        <v>10718</v>
      </c>
      <c r="J807" s="11" t="n">
        <f aca="false">E807-F807</f>
        <v>10</v>
      </c>
      <c r="K807" s="10" t="str">
        <f aca="false">IF(G807&lt;0.2,"0-19%",IF(G807&lt;0.4,"20-39%",IF(G807&lt;0.6,"40-59%",IF(G807&lt;0.8,"60-79%","80%+"))))</f>
        <v>0-19%</v>
      </c>
      <c r="L807" s="10" t="str">
        <f aca="false">IF(H807="","No rating",IF(H807&lt;3.5,"Below 3.5",IF(H807&lt;4,"3.5-3.9",IF(H807&lt;4.5,"4.0-4.4","4.5+"))))</f>
        <v>4.0-4.4</v>
      </c>
    </row>
    <row r="808" customFormat="false" ht="15" hidden="false" customHeight="false" outlineLevel="0" collapsed="false">
      <c r="A808" s="10" t="s">
        <v>1641</v>
      </c>
      <c r="B808" s="10" t="s">
        <v>1642</v>
      </c>
      <c r="C808" s="10" t="s">
        <v>48</v>
      </c>
      <c r="D808" s="10" t="s">
        <v>700</v>
      </c>
      <c r="E808" s="11" t="n">
        <v>5999</v>
      </c>
      <c r="F808" s="11" t="n">
        <v>2025</v>
      </c>
      <c r="G808" s="12" t="n">
        <v>0.66</v>
      </c>
      <c r="H808" s="13" t="n">
        <v>4.2</v>
      </c>
      <c r="I808" s="11" t="n">
        <v>6233</v>
      </c>
      <c r="J808" s="11" t="n">
        <f aca="false">E808-F808</f>
        <v>3974</v>
      </c>
      <c r="K808" s="10" t="str">
        <f aca="false">IF(G808&lt;0.2,"0-19%",IF(G808&lt;0.4,"20-39%",IF(G808&lt;0.6,"40-59%",IF(G808&lt;0.8,"60-79%","80%+"))))</f>
        <v>60-79%</v>
      </c>
      <c r="L808" s="10" t="str">
        <f aca="false">IF(H808="","No rating",IF(H808&lt;3.5,"Below 3.5",IF(H808&lt;4,"3.5-3.9",IF(H808&lt;4.5,"4.0-4.4","4.5+"))))</f>
        <v>4.0-4.4</v>
      </c>
    </row>
    <row r="809" customFormat="false" ht="15" hidden="false" customHeight="false" outlineLevel="0" collapsed="false">
      <c r="A809" s="10" t="s">
        <v>1643</v>
      </c>
      <c r="B809" s="10" t="s">
        <v>1644</v>
      </c>
      <c r="C809" s="10" t="s">
        <v>21</v>
      </c>
      <c r="D809" s="10" t="s">
        <v>22</v>
      </c>
      <c r="E809" s="11" t="n">
        <v>1995</v>
      </c>
      <c r="F809" s="11" t="n">
        <v>1495</v>
      </c>
      <c r="G809" s="12" t="n">
        <v>0.25</v>
      </c>
      <c r="H809" s="13" t="n">
        <v>4.5</v>
      </c>
      <c r="I809" s="11" t="n">
        <v>10541</v>
      </c>
      <c r="J809" s="11" t="n">
        <f aca="false">E809-F809</f>
        <v>500</v>
      </c>
      <c r="K809" s="10" t="str">
        <f aca="false">IF(G809&lt;0.2,"0-19%",IF(G809&lt;0.4,"20-39%",IF(G809&lt;0.6,"40-59%",IF(G809&lt;0.8,"60-79%","80%+"))))</f>
        <v>20-39%</v>
      </c>
      <c r="L809" s="10" t="str">
        <f aca="false">IF(H809="","No rating",IF(H809&lt;3.5,"Below 3.5",IF(H809&lt;4,"3.5-3.9",IF(H809&lt;4.5,"4.0-4.4","4.5+"))))</f>
        <v>4.5+</v>
      </c>
    </row>
    <row r="810" customFormat="false" ht="15" hidden="false" customHeight="false" outlineLevel="0" collapsed="false">
      <c r="A810" s="10" t="s">
        <v>1645</v>
      </c>
      <c r="B810" s="10" t="s">
        <v>1646</v>
      </c>
      <c r="C810" s="10" t="s">
        <v>48</v>
      </c>
      <c r="D810" s="10" t="s">
        <v>290</v>
      </c>
      <c r="E810" s="11" t="n">
        <v>1199</v>
      </c>
      <c r="F810" s="11" t="n">
        <v>899</v>
      </c>
      <c r="G810" s="12" t="n">
        <v>0.25</v>
      </c>
      <c r="H810" s="13" t="n">
        <v>3.8</v>
      </c>
      <c r="I810" s="11" t="n">
        <v>10751</v>
      </c>
      <c r="J810" s="11" t="n">
        <f aca="false">E810-F810</f>
        <v>300</v>
      </c>
      <c r="K810" s="10" t="str">
        <f aca="false">IF(G810&lt;0.2,"0-19%",IF(G810&lt;0.4,"20-39%",IF(G810&lt;0.6,"40-59%",IF(G810&lt;0.8,"60-79%","80%+"))))</f>
        <v>20-39%</v>
      </c>
      <c r="L810" s="10" t="str">
        <f aca="false">IF(H810="","No rating",IF(H810&lt;3.5,"Below 3.5",IF(H810&lt;4,"3.5-3.9",IF(H810&lt;4.5,"4.0-4.4","4.5+"))))</f>
        <v>3.5-3.9</v>
      </c>
    </row>
    <row r="811" customFormat="false" ht="15" hidden="false" customHeight="false" outlineLevel="0" collapsed="false">
      <c r="A811" s="10" t="s">
        <v>1647</v>
      </c>
      <c r="B811" s="10" t="s">
        <v>1648</v>
      </c>
      <c r="C811" s="10" t="s">
        <v>21</v>
      </c>
      <c r="D811" s="10" t="s">
        <v>22</v>
      </c>
      <c r="E811" s="11" t="n">
        <v>999</v>
      </c>
      <c r="F811" s="11" t="n">
        <v>349</v>
      </c>
      <c r="G811" s="12" t="n">
        <v>0.65</v>
      </c>
      <c r="H811" s="13" t="n">
        <v>3.9</v>
      </c>
      <c r="I811" s="11" t="n">
        <v>817</v>
      </c>
      <c r="J811" s="11" t="n">
        <f aca="false">E811-F811</f>
        <v>650</v>
      </c>
      <c r="K811" s="10" t="str">
        <f aca="false">IF(G811&lt;0.2,"0-19%",IF(G811&lt;0.4,"20-39%",IF(G811&lt;0.6,"40-59%",IF(G811&lt;0.8,"60-79%","80%+"))))</f>
        <v>60-79%</v>
      </c>
      <c r="L811" s="10" t="str">
        <f aca="false">IF(H811="","No rating",IF(H811&lt;3.5,"Below 3.5",IF(H811&lt;4,"3.5-3.9",IF(H811&lt;4.5,"4.0-4.4","4.5+"))))</f>
        <v>3.5-3.9</v>
      </c>
    </row>
    <row r="812" customFormat="false" ht="15" hidden="false" customHeight="false" outlineLevel="0" collapsed="false">
      <c r="A812" s="10" t="s">
        <v>1649</v>
      </c>
      <c r="B812" s="10" t="s">
        <v>1650</v>
      </c>
      <c r="C812" s="10" t="s">
        <v>48</v>
      </c>
      <c r="D812" s="10" t="s">
        <v>700</v>
      </c>
      <c r="E812" s="11" t="n">
        <v>2499</v>
      </c>
      <c r="F812" s="11" t="n">
        <v>900</v>
      </c>
      <c r="G812" s="12" t="n">
        <v>0.64</v>
      </c>
      <c r="H812" s="13" t="n">
        <v>4</v>
      </c>
      <c r="I812" s="11" t="n">
        <v>36384</v>
      </c>
      <c r="J812" s="11" t="n">
        <f aca="false">E812-F812</f>
        <v>1599</v>
      </c>
      <c r="K812" s="10" t="str">
        <f aca="false">IF(G812&lt;0.2,"0-19%",IF(G812&lt;0.4,"20-39%",IF(G812&lt;0.6,"40-59%",IF(G812&lt;0.8,"60-79%","80%+"))))</f>
        <v>60-79%</v>
      </c>
      <c r="L812" s="10" t="str">
        <f aca="false">IF(H812="","No rating",IF(H812&lt;3.5,"Below 3.5",IF(H812&lt;4,"3.5-3.9",IF(H812&lt;4.5,"4.0-4.4","4.5+"))))</f>
        <v>4.0-4.4</v>
      </c>
    </row>
    <row r="813" customFormat="false" ht="15" hidden="false" customHeight="false" outlineLevel="0" collapsed="false">
      <c r="A813" s="10" t="s">
        <v>1651</v>
      </c>
      <c r="B813" s="10" t="s">
        <v>1652</v>
      </c>
      <c r="C813" s="10" t="s">
        <v>48</v>
      </c>
      <c r="D813" s="10" t="s">
        <v>1193</v>
      </c>
      <c r="E813" s="11" t="n">
        <v>3990</v>
      </c>
      <c r="F813" s="11" t="n">
        <v>2490</v>
      </c>
      <c r="G813" s="12" t="n">
        <v>0.38</v>
      </c>
      <c r="H813" s="13" t="n">
        <v>4.1</v>
      </c>
      <c r="I813" s="11" t="n">
        <v>3606</v>
      </c>
      <c r="J813" s="11" t="n">
        <f aca="false">E813-F813</f>
        <v>1500</v>
      </c>
      <c r="K813" s="10" t="str">
        <f aca="false">IF(G813&lt;0.2,"0-19%",IF(G813&lt;0.4,"20-39%",IF(G813&lt;0.6,"40-59%",IF(G813&lt;0.8,"60-79%","80%+"))))</f>
        <v>20-39%</v>
      </c>
      <c r="L813" s="10" t="str">
        <f aca="false">IF(H813="","No rating",IF(H813&lt;3.5,"Below 3.5",IF(H813&lt;4,"3.5-3.9",IF(H813&lt;4.5,"4.0-4.4","4.5+"))))</f>
        <v>4.0-4.4</v>
      </c>
    </row>
    <row r="814" customFormat="false" ht="15" hidden="false" customHeight="false" outlineLevel="0" collapsed="false">
      <c r="A814" s="10" t="s">
        <v>1653</v>
      </c>
      <c r="B814" s="10" t="s">
        <v>1654</v>
      </c>
      <c r="C814" s="10" t="s">
        <v>48</v>
      </c>
      <c r="D814" s="10" t="s">
        <v>1174</v>
      </c>
      <c r="E814" s="11" t="n">
        <v>200</v>
      </c>
      <c r="F814" s="11" t="n">
        <v>116</v>
      </c>
      <c r="G814" s="12" t="n">
        <v>0.42</v>
      </c>
      <c r="H814" s="13" t="n">
        <v>4.4</v>
      </c>
      <c r="I814" s="11" t="n">
        <v>357</v>
      </c>
      <c r="J814" s="11" t="n">
        <f aca="false">E814-F814</f>
        <v>84</v>
      </c>
      <c r="K814" s="10" t="str">
        <f aca="false">IF(G814&lt;0.2,"0-19%",IF(G814&lt;0.4,"20-39%",IF(G814&lt;0.6,"40-59%",IF(G814&lt;0.8,"60-79%","80%+"))))</f>
        <v>40-59%</v>
      </c>
      <c r="L814" s="10" t="str">
        <f aca="false">IF(H814="","No rating",IF(H814&lt;3.5,"Below 3.5",IF(H814&lt;4,"3.5-3.9",IF(H814&lt;4.5,"4.0-4.4","4.5+"))))</f>
        <v>4.0-4.4</v>
      </c>
    </row>
    <row r="815" customFormat="false" ht="15" hidden="false" customHeight="false" outlineLevel="0" collapsed="false">
      <c r="A815" s="10" t="s">
        <v>1655</v>
      </c>
      <c r="B815" s="10" t="s">
        <v>1656</v>
      </c>
      <c r="C815" s="10" t="s">
        <v>1181</v>
      </c>
      <c r="D815" s="10" t="s">
        <v>1182</v>
      </c>
      <c r="E815" s="11" t="n">
        <v>230</v>
      </c>
      <c r="F815" s="11" t="n">
        <v>200</v>
      </c>
      <c r="G815" s="12" t="n">
        <v>0.13</v>
      </c>
      <c r="H815" s="13" t="n">
        <v>4.4</v>
      </c>
      <c r="I815" s="11" t="n">
        <v>10170</v>
      </c>
      <c r="J815" s="11" t="n">
        <f aca="false">E815-F815</f>
        <v>30</v>
      </c>
      <c r="K815" s="10" t="str">
        <f aca="false">IF(G815&lt;0.2,"0-19%",IF(G815&lt;0.4,"20-39%",IF(G815&lt;0.6,"40-59%",IF(G815&lt;0.8,"60-79%","80%+"))))</f>
        <v>0-19%</v>
      </c>
      <c r="L815" s="10" t="str">
        <f aca="false">IF(H815="","No rating",IF(H815&lt;3.5,"Below 3.5",IF(H815&lt;4,"3.5-3.9",IF(H815&lt;4.5,"4.0-4.4","4.5+"))))</f>
        <v>4.0-4.4</v>
      </c>
    </row>
    <row r="816" customFormat="false" ht="15" hidden="false" customHeight="false" outlineLevel="0" collapsed="false">
      <c r="A816" s="10" t="s">
        <v>1657</v>
      </c>
      <c r="B816" s="10" t="s">
        <v>1658</v>
      </c>
      <c r="C816" s="10" t="s">
        <v>21</v>
      </c>
      <c r="D816" s="10" t="s">
        <v>22</v>
      </c>
      <c r="E816" s="11" t="n">
        <v>2796</v>
      </c>
      <c r="F816" s="11" t="n">
        <v>1249</v>
      </c>
      <c r="G816" s="12" t="n">
        <v>0.55</v>
      </c>
      <c r="H816" s="13" t="n">
        <v>4.4</v>
      </c>
      <c r="I816" s="11" t="n">
        <v>4598</v>
      </c>
      <c r="J816" s="11" t="n">
        <f aca="false">E816-F816</f>
        <v>1547</v>
      </c>
      <c r="K816" s="10" t="str">
        <f aca="false">IF(G816&lt;0.2,"0-19%",IF(G816&lt;0.4,"20-39%",IF(G816&lt;0.6,"40-59%",IF(G816&lt;0.8,"60-79%","80%+"))))</f>
        <v>40-59%</v>
      </c>
      <c r="L816" s="10" t="str">
        <f aca="false">IF(H816="","No rating",IF(H816&lt;3.5,"Below 3.5",IF(H816&lt;4,"3.5-3.9",IF(H816&lt;4.5,"4.0-4.4","4.5+"))))</f>
        <v>4.0-4.4</v>
      </c>
    </row>
    <row r="817" customFormat="false" ht="15" hidden="false" customHeight="false" outlineLevel="0" collapsed="false">
      <c r="A817" s="10" t="s">
        <v>1659</v>
      </c>
      <c r="B817" s="10" t="s">
        <v>1660</v>
      </c>
      <c r="C817" s="10" t="s">
        <v>21</v>
      </c>
      <c r="D817" s="10" t="s">
        <v>22</v>
      </c>
      <c r="E817" s="11" t="n">
        <v>999</v>
      </c>
      <c r="F817" s="11" t="n">
        <v>649</v>
      </c>
      <c r="G817" s="12" t="n">
        <v>0.35</v>
      </c>
      <c r="H817" s="13" t="n">
        <v>3.5</v>
      </c>
      <c r="I817" s="11" t="n">
        <v>7222</v>
      </c>
      <c r="J817" s="11" t="n">
        <f aca="false">E817-F817</f>
        <v>350</v>
      </c>
      <c r="K817" s="10" t="str">
        <f aca="false">IF(G817&lt;0.2,"0-19%",IF(G817&lt;0.4,"20-39%",IF(G817&lt;0.6,"40-59%",IF(G817&lt;0.8,"60-79%","80%+"))))</f>
        <v>20-39%</v>
      </c>
      <c r="L817" s="10" t="str">
        <f aca="false">IF(H817="","No rating",IF(H817&lt;3.5,"Below 3.5",IF(H817&lt;4,"3.5-3.9",IF(H817&lt;4.5,"4.0-4.4","4.5+"))))</f>
        <v>3.5-3.9</v>
      </c>
    </row>
    <row r="818" customFormat="false" ht="15" hidden="false" customHeight="false" outlineLevel="0" collapsed="false">
      <c r="A818" s="10" t="s">
        <v>1661</v>
      </c>
      <c r="B818" s="10" t="s">
        <v>1662</v>
      </c>
      <c r="C818" s="10" t="s">
        <v>21</v>
      </c>
      <c r="D818" s="10" t="s">
        <v>22</v>
      </c>
      <c r="E818" s="11" t="n">
        <v>3499</v>
      </c>
      <c r="F818" s="11" t="n">
        <v>2649</v>
      </c>
      <c r="G818" s="12" t="n">
        <v>0.24</v>
      </c>
      <c r="H818" s="13" t="n">
        <v>4.5</v>
      </c>
      <c r="I818" s="11" t="n">
        <v>1271</v>
      </c>
      <c r="J818" s="11" t="n">
        <f aca="false">E818-F818</f>
        <v>850</v>
      </c>
      <c r="K818" s="10" t="str">
        <f aca="false">IF(G818&lt;0.2,"0-19%",IF(G818&lt;0.4,"20-39%",IF(G818&lt;0.6,"40-59%",IF(G818&lt;0.8,"60-79%","80%+"))))</f>
        <v>20-39%</v>
      </c>
      <c r="L818" s="10" t="str">
        <f aca="false">IF(H818="","No rating",IF(H818&lt;3.5,"Below 3.5",IF(H818&lt;4,"3.5-3.9",IF(H818&lt;4.5,"4.0-4.4","4.5+"))))</f>
        <v>4.5+</v>
      </c>
    </row>
    <row r="819" customFormat="false" ht="15" hidden="false" customHeight="false" outlineLevel="0" collapsed="false">
      <c r="A819" s="10" t="s">
        <v>1663</v>
      </c>
      <c r="B819" s="10" t="s">
        <v>1664</v>
      </c>
      <c r="C819" s="10" t="s">
        <v>21</v>
      </c>
      <c r="D819" s="10" t="s">
        <v>1217</v>
      </c>
      <c r="E819" s="11" t="n">
        <v>723</v>
      </c>
      <c r="F819" s="11" t="n">
        <v>596</v>
      </c>
      <c r="G819" s="12" t="n">
        <v>0.18</v>
      </c>
      <c r="H819" s="13" t="n">
        <v>4.4</v>
      </c>
      <c r="I819" s="11" t="n">
        <v>3219</v>
      </c>
      <c r="J819" s="11" t="n">
        <f aca="false">E819-F819</f>
        <v>127</v>
      </c>
      <c r="K819" s="10" t="str">
        <f aca="false">IF(G819&lt;0.2,"0-19%",IF(G819&lt;0.4,"20-39%",IF(G819&lt;0.6,"40-59%",IF(G819&lt;0.8,"60-79%","80%+"))))</f>
        <v>0-19%</v>
      </c>
      <c r="L819" s="10" t="str">
        <f aca="false">IF(H819="","No rating",IF(H819&lt;3.5,"Below 3.5",IF(H819&lt;4,"3.5-3.9",IF(H819&lt;4.5,"4.0-4.4","4.5+"))))</f>
        <v>4.0-4.4</v>
      </c>
    </row>
    <row r="820" customFormat="false" ht="15" hidden="false" customHeight="false" outlineLevel="0" collapsed="false">
      <c r="A820" s="10" t="s">
        <v>1665</v>
      </c>
      <c r="B820" s="10" t="s">
        <v>1666</v>
      </c>
      <c r="C820" s="10" t="s">
        <v>48</v>
      </c>
      <c r="D820" s="10" t="s">
        <v>693</v>
      </c>
      <c r="E820" s="11" t="n">
        <v>5999</v>
      </c>
      <c r="F820" s="11" t="n">
        <v>2499</v>
      </c>
      <c r="G820" s="12" t="n">
        <v>0.58</v>
      </c>
      <c r="H820" s="13" t="n">
        <v>4.1</v>
      </c>
      <c r="I820" s="11" t="n">
        <v>38879</v>
      </c>
      <c r="J820" s="11" t="n">
        <f aca="false">E820-F820</f>
        <v>3500</v>
      </c>
      <c r="K820" s="10" t="str">
        <f aca="false">IF(G820&lt;0.2,"0-19%",IF(G820&lt;0.4,"20-39%",IF(G820&lt;0.6,"40-59%",IF(G820&lt;0.8,"60-79%","80%+"))))</f>
        <v>40-59%</v>
      </c>
      <c r="L820" s="10" t="str">
        <f aca="false">IF(H820="","No rating",IF(H820&lt;3.5,"Below 3.5",IF(H820&lt;4,"3.5-3.9",IF(H820&lt;4.5,"4.0-4.4","4.5+"))))</f>
        <v>4.0-4.4</v>
      </c>
    </row>
    <row r="821" customFormat="false" ht="15" hidden="false" customHeight="false" outlineLevel="0" collapsed="false">
      <c r="A821" s="10" t="s">
        <v>1667</v>
      </c>
      <c r="B821" s="10" t="s">
        <v>1668</v>
      </c>
      <c r="C821" s="10" t="s">
        <v>48</v>
      </c>
      <c r="D821" s="10" t="s">
        <v>290</v>
      </c>
      <c r="E821" s="11" t="n">
        <v>12499</v>
      </c>
      <c r="F821" s="11" t="n">
        <v>4999</v>
      </c>
      <c r="G821" s="12" t="n">
        <v>0.6</v>
      </c>
      <c r="H821" s="13" t="n">
        <v>4.2</v>
      </c>
      <c r="I821" s="11" t="n">
        <v>4541</v>
      </c>
      <c r="J821" s="11" t="n">
        <f aca="false">E821-F821</f>
        <v>7500</v>
      </c>
      <c r="K821" s="10" t="str">
        <f aca="false">IF(G821&lt;0.2,"0-19%",IF(G821&lt;0.4,"20-39%",IF(G821&lt;0.6,"40-59%",IF(G821&lt;0.8,"60-79%","80%+"))))</f>
        <v>60-79%</v>
      </c>
      <c r="L821" s="10" t="str">
        <f aca="false">IF(H821="","No rating",IF(H821&lt;3.5,"Below 3.5",IF(H821&lt;4,"3.5-3.9",IF(H821&lt;4.5,"4.0-4.4","4.5+"))))</f>
        <v>4.0-4.4</v>
      </c>
    </row>
    <row r="822" customFormat="false" ht="15" hidden="false" customHeight="false" outlineLevel="0" collapsed="false">
      <c r="A822" s="10" t="s">
        <v>1669</v>
      </c>
      <c r="B822" s="10" t="s">
        <v>1670</v>
      </c>
      <c r="C822" s="10" t="s">
        <v>48</v>
      </c>
      <c r="D822" s="10" t="s">
        <v>722</v>
      </c>
      <c r="E822" s="11" t="n">
        <v>1290</v>
      </c>
      <c r="F822" s="11" t="n">
        <v>399</v>
      </c>
      <c r="G822" s="12" t="n">
        <v>0.69</v>
      </c>
      <c r="H822" s="13" t="n">
        <v>4.2</v>
      </c>
      <c r="I822" s="11" t="n">
        <v>76042</v>
      </c>
      <c r="J822" s="11" t="n">
        <f aca="false">E822-F822</f>
        <v>891</v>
      </c>
      <c r="K822" s="10" t="str">
        <f aca="false">IF(G822&lt;0.2,"0-19%",IF(G822&lt;0.4,"20-39%",IF(G822&lt;0.6,"40-59%",IF(G822&lt;0.8,"60-79%","80%+"))))</f>
        <v>60-79%</v>
      </c>
      <c r="L822" s="10" t="str">
        <f aca="false">IF(H822="","No rating",IF(H822&lt;3.5,"Below 3.5",IF(H822&lt;4,"3.5-3.9",IF(H822&lt;4.5,"4.0-4.4","4.5+"))))</f>
        <v>4.0-4.4</v>
      </c>
    </row>
    <row r="823" customFormat="false" ht="15" hidden="false" customHeight="false" outlineLevel="0" collapsed="false">
      <c r="A823" s="10" t="s">
        <v>1671</v>
      </c>
      <c r="B823" s="10" t="s">
        <v>1672</v>
      </c>
      <c r="C823" s="10" t="s">
        <v>48</v>
      </c>
      <c r="D823" s="10" t="s">
        <v>1174</v>
      </c>
      <c r="E823" s="11" t="n">
        <v>200</v>
      </c>
      <c r="F823" s="11" t="n">
        <v>116</v>
      </c>
      <c r="G823" s="12" t="n">
        <v>0.42</v>
      </c>
      <c r="H823" s="13" t="n">
        <v>4.3</v>
      </c>
      <c r="I823" s="11" t="n">
        <v>485</v>
      </c>
      <c r="J823" s="11" t="n">
        <f aca="false">E823-F823</f>
        <v>84</v>
      </c>
      <c r="K823" s="10" t="str">
        <f aca="false">IF(G823&lt;0.2,"0-19%",IF(G823&lt;0.4,"20-39%",IF(G823&lt;0.6,"40-59%",IF(G823&lt;0.8,"60-79%","80%+"))))</f>
        <v>40-59%</v>
      </c>
      <c r="L823" s="10" t="str">
        <f aca="false">IF(H823="","No rating",IF(H823&lt;3.5,"Below 3.5",IF(H823&lt;4,"3.5-3.9",IF(H823&lt;4.5,"4.0-4.4","4.5+"))))</f>
        <v>4.0-4.4</v>
      </c>
    </row>
    <row r="824" customFormat="false" ht="15" hidden="false" customHeight="false" outlineLevel="0" collapsed="false">
      <c r="A824" s="10" t="s">
        <v>1673</v>
      </c>
      <c r="B824" s="10" t="s">
        <v>1674</v>
      </c>
      <c r="C824" s="10" t="s">
        <v>48</v>
      </c>
      <c r="D824" s="10" t="s">
        <v>1193</v>
      </c>
      <c r="E824" s="11" t="n">
        <v>5999</v>
      </c>
      <c r="F824" s="11" t="n">
        <v>4499</v>
      </c>
      <c r="G824" s="12" t="n">
        <v>0.25</v>
      </c>
      <c r="H824" s="13" t="n">
        <v>4.3</v>
      </c>
      <c r="I824" s="11" t="n">
        <v>44696</v>
      </c>
      <c r="J824" s="11" t="n">
        <f aca="false">E824-F824</f>
        <v>1500</v>
      </c>
      <c r="K824" s="10" t="str">
        <f aca="false">IF(G824&lt;0.2,"0-19%",IF(G824&lt;0.4,"20-39%",IF(G824&lt;0.6,"40-59%",IF(G824&lt;0.8,"60-79%","80%+"))))</f>
        <v>20-39%</v>
      </c>
      <c r="L824" s="10" t="str">
        <f aca="false">IF(H824="","No rating",IF(H824&lt;3.5,"Below 3.5",IF(H824&lt;4,"3.5-3.9",IF(H824&lt;4.5,"4.0-4.4","4.5+"))))</f>
        <v>4.0-4.4</v>
      </c>
    </row>
    <row r="825" customFormat="false" ht="15" hidden="false" customHeight="false" outlineLevel="0" collapsed="false">
      <c r="A825" s="10" t="s">
        <v>1675</v>
      </c>
      <c r="B825" s="10" t="s">
        <v>1676</v>
      </c>
      <c r="C825" s="10" t="s">
        <v>21</v>
      </c>
      <c r="D825" s="10" t="s">
        <v>22</v>
      </c>
      <c r="E825" s="11" t="n">
        <v>499</v>
      </c>
      <c r="F825" s="11" t="n">
        <v>330</v>
      </c>
      <c r="G825" s="12" t="n">
        <v>0.34</v>
      </c>
      <c r="H825" s="13" t="n">
        <v>3.7</v>
      </c>
      <c r="I825" s="11" t="n">
        <v>8566</v>
      </c>
      <c r="J825" s="11" t="n">
        <f aca="false">E825-F825</f>
        <v>169</v>
      </c>
      <c r="K825" s="10" t="str">
        <f aca="false">IF(G825&lt;0.2,"0-19%",IF(G825&lt;0.4,"20-39%",IF(G825&lt;0.6,"40-59%",IF(G825&lt;0.8,"60-79%","80%+"))))</f>
        <v>20-39%</v>
      </c>
      <c r="L825" s="10" t="str">
        <f aca="false">IF(H825="","No rating",IF(H825&lt;3.5,"Below 3.5",IF(H825&lt;4,"3.5-3.9",IF(H825&lt;4.5,"4.0-4.4","4.5+"))))</f>
        <v>3.5-3.9</v>
      </c>
    </row>
    <row r="826" customFormat="false" ht="15" hidden="false" customHeight="false" outlineLevel="0" collapsed="false">
      <c r="A826" s="10" t="s">
        <v>1677</v>
      </c>
      <c r="B826" s="10" t="s">
        <v>1678</v>
      </c>
      <c r="C826" s="10" t="s">
        <v>48</v>
      </c>
      <c r="D826" s="10" t="s">
        <v>722</v>
      </c>
      <c r="E826" s="11" t="n">
        <v>2499</v>
      </c>
      <c r="F826" s="11" t="n">
        <v>649</v>
      </c>
      <c r="G826" s="12" t="n">
        <v>0.74</v>
      </c>
      <c r="H826" s="13" t="n">
        <v>3.9</v>
      </c>
      <c r="I826" s="11" t="n">
        <v>13049</v>
      </c>
      <c r="J826" s="11" t="n">
        <f aca="false">E826-F826</f>
        <v>1850</v>
      </c>
      <c r="K826" s="10" t="str">
        <f aca="false">IF(G826&lt;0.2,"0-19%",IF(G826&lt;0.4,"20-39%",IF(G826&lt;0.6,"40-59%",IF(G826&lt;0.8,"60-79%","80%+"))))</f>
        <v>60-79%</v>
      </c>
      <c r="L826" s="10" t="str">
        <f aca="false">IF(H826="","No rating",IF(H826&lt;3.5,"Below 3.5",IF(H826&lt;4,"3.5-3.9",IF(H826&lt;4.5,"4.0-4.4","4.5+"))))</f>
        <v>3.5-3.9</v>
      </c>
    </row>
    <row r="827" customFormat="false" ht="15" hidden="false" customHeight="false" outlineLevel="0" collapsed="false">
      <c r="A827" s="10" t="s">
        <v>1679</v>
      </c>
      <c r="B827" s="10" t="s">
        <v>1680</v>
      </c>
      <c r="C827" s="10" t="s">
        <v>21</v>
      </c>
      <c r="D827" s="10" t="s">
        <v>22</v>
      </c>
      <c r="E827" s="11" t="n">
        <v>1599</v>
      </c>
      <c r="F827" s="11" t="n">
        <v>1234</v>
      </c>
      <c r="G827" s="12" t="n">
        <v>0.23</v>
      </c>
      <c r="H827" s="13" t="n">
        <v>4.5</v>
      </c>
      <c r="I827" s="11" t="n">
        <v>16680</v>
      </c>
      <c r="J827" s="11" t="n">
        <f aca="false">E827-F827</f>
        <v>365</v>
      </c>
      <c r="K827" s="10" t="str">
        <f aca="false">IF(G827&lt;0.2,"0-19%",IF(G827&lt;0.4,"20-39%",IF(G827&lt;0.6,"40-59%",IF(G827&lt;0.8,"60-79%","80%+"))))</f>
        <v>20-39%</v>
      </c>
      <c r="L827" s="10" t="str">
        <f aca="false">IF(H827="","No rating",IF(H827&lt;3.5,"Below 3.5",IF(H827&lt;4,"3.5-3.9",IF(H827&lt;4.5,"4.0-4.4","4.5+"))))</f>
        <v>4.5+</v>
      </c>
    </row>
    <row r="828" customFormat="false" ht="15" hidden="false" customHeight="false" outlineLevel="0" collapsed="false">
      <c r="A828" s="10" t="s">
        <v>1681</v>
      </c>
      <c r="B828" s="10" t="s">
        <v>1682</v>
      </c>
      <c r="C828" s="10" t="s">
        <v>1177</v>
      </c>
      <c r="D828" s="10" t="s">
        <v>1178</v>
      </c>
      <c r="E828" s="11" t="n">
        <v>320</v>
      </c>
      <c r="F828" s="11" t="n">
        <v>272</v>
      </c>
      <c r="G828" s="12" t="n">
        <v>0.15</v>
      </c>
      <c r="H828" s="13" t="n">
        <v>4</v>
      </c>
      <c r="I828" s="11" t="n">
        <v>3686</v>
      </c>
      <c r="J828" s="11" t="n">
        <f aca="false">E828-F828</f>
        <v>48</v>
      </c>
      <c r="K828" s="10" t="str">
        <f aca="false">IF(G828&lt;0.2,"0-19%",IF(G828&lt;0.4,"20-39%",IF(G828&lt;0.6,"40-59%",IF(G828&lt;0.8,"60-79%","80%+"))))</f>
        <v>0-19%</v>
      </c>
      <c r="L828" s="10" t="str">
        <f aca="false">IF(H828="","No rating",IF(H828&lt;3.5,"Below 3.5",IF(H828&lt;4,"3.5-3.9",IF(H828&lt;4.5,"4.0-4.4","4.5+"))))</f>
        <v>4.0-4.4</v>
      </c>
    </row>
    <row r="829" customFormat="false" ht="15" hidden="false" customHeight="false" outlineLevel="0" collapsed="false">
      <c r="A829" s="10" t="s">
        <v>1683</v>
      </c>
      <c r="B829" s="10" t="s">
        <v>1684</v>
      </c>
      <c r="C829" s="10" t="s">
        <v>48</v>
      </c>
      <c r="D829" s="10" t="s">
        <v>722</v>
      </c>
      <c r="E829" s="11" t="n">
        <v>999</v>
      </c>
      <c r="F829" s="11" t="n">
        <v>99</v>
      </c>
      <c r="G829" s="12" t="n">
        <v>0.9</v>
      </c>
      <c r="H829" s="13" t="n">
        <v>3.8</v>
      </c>
      <c r="I829" s="11" t="n">
        <v>594</v>
      </c>
      <c r="J829" s="11" t="n">
        <f aca="false">E829-F829</f>
        <v>900</v>
      </c>
      <c r="K829" s="10" t="str">
        <f aca="false">IF(G829&lt;0.2,"0-19%",IF(G829&lt;0.4,"20-39%",IF(G829&lt;0.6,"40-59%",IF(G829&lt;0.8,"60-79%","80%+"))))</f>
        <v>80%+</v>
      </c>
      <c r="L829" s="10" t="str">
        <f aca="false">IF(H829="","No rating",IF(H829&lt;3.5,"Below 3.5",IF(H829&lt;4,"3.5-3.9",IF(H829&lt;4.5,"4.0-4.4","4.5+"))))</f>
        <v>3.5-3.9</v>
      </c>
    </row>
    <row r="830" customFormat="false" ht="15" hidden="false" customHeight="false" outlineLevel="0" collapsed="false">
      <c r="A830" s="10" t="s">
        <v>1685</v>
      </c>
      <c r="B830" s="10" t="s">
        <v>1686</v>
      </c>
      <c r="C830" s="10" t="s">
        <v>21</v>
      </c>
      <c r="D830" s="10" t="s">
        <v>1217</v>
      </c>
      <c r="E830" s="11" t="n">
        <v>3875</v>
      </c>
      <c r="F830" s="11" t="n">
        <v>3498</v>
      </c>
      <c r="G830" s="12" t="n">
        <v>0.1</v>
      </c>
      <c r="H830" s="13" t="n">
        <v>3.4</v>
      </c>
      <c r="I830" s="11" t="n">
        <v>12185</v>
      </c>
      <c r="J830" s="11" t="n">
        <f aca="false">E830-F830</f>
        <v>377</v>
      </c>
      <c r="K830" s="10" t="str">
        <f aca="false">IF(G830&lt;0.2,"0-19%",IF(G830&lt;0.4,"20-39%",IF(G830&lt;0.6,"40-59%",IF(G830&lt;0.8,"60-79%","80%+"))))</f>
        <v>0-19%</v>
      </c>
      <c r="L830" s="10" t="str">
        <f aca="false">IF(H830="","No rating",IF(H830&lt;3.5,"Below 3.5",IF(H830&lt;4,"3.5-3.9",IF(H830&lt;4.5,"4.0-4.4","4.5+"))))</f>
        <v>Below 3.5</v>
      </c>
    </row>
    <row r="831" customFormat="false" ht="15" hidden="false" customHeight="false" outlineLevel="0" collapsed="false">
      <c r="A831" s="10" t="s">
        <v>1687</v>
      </c>
      <c r="B831" s="10" t="s">
        <v>1688</v>
      </c>
      <c r="C831" s="10" t="s">
        <v>21</v>
      </c>
      <c r="D831" s="10" t="s">
        <v>1320</v>
      </c>
      <c r="E831" s="11" t="n">
        <v>19110</v>
      </c>
      <c r="F831" s="11" t="n">
        <v>10099</v>
      </c>
      <c r="G831" s="12" t="n">
        <v>0.47</v>
      </c>
      <c r="H831" s="13" t="n">
        <v>4.3</v>
      </c>
      <c r="I831" s="11" t="n">
        <v>2623</v>
      </c>
      <c r="J831" s="11" t="n">
        <f aca="false">E831-F831</f>
        <v>9011</v>
      </c>
      <c r="K831" s="10" t="str">
        <f aca="false">IF(G831&lt;0.2,"0-19%",IF(G831&lt;0.4,"20-39%",IF(G831&lt;0.6,"40-59%",IF(G831&lt;0.8,"60-79%","80%+"))))</f>
        <v>40-59%</v>
      </c>
      <c r="L831" s="10" t="str">
        <f aca="false">IF(H831="","No rating",IF(H831&lt;3.5,"Below 3.5",IF(H831&lt;4,"3.5-3.9",IF(H831&lt;4.5,"4.0-4.4","4.5+"))))</f>
        <v>4.0-4.4</v>
      </c>
    </row>
    <row r="832" customFormat="false" ht="15" hidden="false" customHeight="false" outlineLevel="0" collapsed="false">
      <c r="A832" s="10" t="s">
        <v>1689</v>
      </c>
      <c r="B832" s="10" t="s">
        <v>1690</v>
      </c>
      <c r="C832" s="10" t="s">
        <v>21</v>
      </c>
      <c r="D832" s="10" t="s">
        <v>22</v>
      </c>
      <c r="E832" s="11" t="n">
        <v>999</v>
      </c>
      <c r="F832" s="11" t="n">
        <v>449</v>
      </c>
      <c r="G832" s="12" t="n">
        <v>0.55</v>
      </c>
      <c r="H832" s="13" t="n">
        <v>4.3</v>
      </c>
      <c r="I832" s="11" t="n">
        <v>9701</v>
      </c>
      <c r="J832" s="11" t="n">
        <f aca="false">E832-F832</f>
        <v>550</v>
      </c>
      <c r="K832" s="10" t="str">
        <f aca="false">IF(G832&lt;0.2,"0-19%",IF(G832&lt;0.4,"20-39%",IF(G832&lt;0.6,"40-59%",IF(G832&lt;0.8,"60-79%","80%+"))))</f>
        <v>40-59%</v>
      </c>
      <c r="L832" s="10" t="str">
        <f aca="false">IF(H832="","No rating",IF(H832&lt;3.5,"Below 3.5",IF(H832&lt;4,"3.5-3.9",IF(H832&lt;4.5,"4.0-4.4","4.5+"))))</f>
        <v>4.0-4.4</v>
      </c>
    </row>
    <row r="833" customFormat="false" ht="15" hidden="false" customHeight="false" outlineLevel="0" collapsed="false">
      <c r="A833" s="10" t="s">
        <v>1691</v>
      </c>
      <c r="B833" s="10" t="s">
        <v>1692</v>
      </c>
      <c r="C833" s="10" t="s">
        <v>1170</v>
      </c>
      <c r="D833" s="10" t="s">
        <v>1693</v>
      </c>
      <c r="E833" s="11" t="n">
        <v>150</v>
      </c>
      <c r="F833" s="11" t="n">
        <v>150</v>
      </c>
      <c r="G833" s="12" t="n">
        <v>0</v>
      </c>
      <c r="H833" s="13" t="n">
        <v>4.3</v>
      </c>
      <c r="I833" s="11" t="n">
        <v>15867</v>
      </c>
      <c r="J833" s="11" t="n">
        <f aca="false">E833-F833</f>
        <v>0</v>
      </c>
      <c r="K833" s="10" t="str">
        <f aca="false">IF(G833&lt;0.2,"0-19%",IF(G833&lt;0.4,"20-39%",IF(G833&lt;0.6,"40-59%",IF(G833&lt;0.8,"60-79%","80%+"))))</f>
        <v>0-19%</v>
      </c>
      <c r="L833" s="10" t="str">
        <f aca="false">IF(H833="","No rating",IF(H833&lt;3.5,"Below 3.5",IF(H833&lt;4,"3.5-3.9",IF(H833&lt;4.5,"4.0-4.4","4.5+"))))</f>
        <v>4.0-4.4</v>
      </c>
    </row>
    <row r="834" customFormat="false" ht="15" hidden="false" customHeight="false" outlineLevel="0" collapsed="false">
      <c r="A834" s="10" t="s">
        <v>1694</v>
      </c>
      <c r="B834" s="10" t="s">
        <v>1695</v>
      </c>
      <c r="C834" s="10" t="s">
        <v>21</v>
      </c>
      <c r="D834" s="10" t="s">
        <v>39</v>
      </c>
      <c r="E834" s="11" t="n">
        <v>2999</v>
      </c>
      <c r="F834" s="11" t="n">
        <v>1199</v>
      </c>
      <c r="G834" s="12" t="n">
        <v>0.6</v>
      </c>
      <c r="H834" s="13" t="n">
        <v>4.1</v>
      </c>
      <c r="I834" s="11" t="n">
        <v>10725</v>
      </c>
      <c r="J834" s="11" t="n">
        <f aca="false">E834-F834</f>
        <v>1800</v>
      </c>
      <c r="K834" s="10" t="str">
        <f aca="false">IF(G834&lt;0.2,"0-19%",IF(G834&lt;0.4,"20-39%",IF(G834&lt;0.6,"40-59%",IF(G834&lt;0.8,"60-79%","80%+"))))</f>
        <v>60-79%</v>
      </c>
      <c r="L834" s="10" t="str">
        <f aca="false">IF(H834="","No rating",IF(H834&lt;3.5,"Below 3.5",IF(H834&lt;4,"3.5-3.9",IF(H834&lt;4.5,"4.0-4.4","4.5+"))))</f>
        <v>4.0-4.4</v>
      </c>
    </row>
    <row r="835" customFormat="false" ht="15" hidden="false" customHeight="false" outlineLevel="0" collapsed="false">
      <c r="A835" s="10" t="s">
        <v>1696</v>
      </c>
      <c r="B835" s="10" t="s">
        <v>1697</v>
      </c>
      <c r="C835" s="10" t="s">
        <v>21</v>
      </c>
      <c r="D835" s="10" t="s">
        <v>22</v>
      </c>
      <c r="E835" s="11" t="n">
        <v>899</v>
      </c>
      <c r="F835" s="11" t="n">
        <v>397</v>
      </c>
      <c r="G835" s="12" t="n">
        <v>0.56</v>
      </c>
      <c r="H835" s="13" t="n">
        <v>4</v>
      </c>
      <c r="I835" s="11" t="n">
        <v>3025</v>
      </c>
      <c r="J835" s="11" t="n">
        <f aca="false">E835-F835</f>
        <v>502</v>
      </c>
      <c r="K835" s="10" t="str">
        <f aca="false">IF(G835&lt;0.2,"0-19%",IF(G835&lt;0.4,"20-39%",IF(G835&lt;0.6,"40-59%",IF(G835&lt;0.8,"60-79%","80%+"))))</f>
        <v>40-59%</v>
      </c>
      <c r="L835" s="10" t="str">
        <f aca="false">IF(H835="","No rating",IF(H835&lt;3.5,"Below 3.5",IF(H835&lt;4,"3.5-3.9",IF(H835&lt;4.5,"4.0-4.4","4.5+"))))</f>
        <v>4.0-4.4</v>
      </c>
    </row>
    <row r="836" customFormat="false" ht="15" hidden="false" customHeight="false" outlineLevel="0" collapsed="false">
      <c r="A836" s="10" t="s">
        <v>1698</v>
      </c>
      <c r="B836" s="10" t="s">
        <v>1699</v>
      </c>
      <c r="C836" s="10" t="s">
        <v>21</v>
      </c>
      <c r="D836" s="10" t="s">
        <v>22</v>
      </c>
      <c r="E836" s="11" t="n">
        <v>1490</v>
      </c>
      <c r="F836" s="11" t="n">
        <v>699</v>
      </c>
      <c r="G836" s="12" t="n">
        <v>0.53</v>
      </c>
      <c r="H836" s="13" t="n">
        <v>4</v>
      </c>
      <c r="I836" s="11" t="n">
        <v>5736</v>
      </c>
      <c r="J836" s="11" t="n">
        <f aca="false">E836-F836</f>
        <v>791</v>
      </c>
      <c r="K836" s="10" t="str">
        <f aca="false">IF(G836&lt;0.2,"0-19%",IF(G836&lt;0.4,"20-39%",IF(G836&lt;0.6,"40-59%",IF(G836&lt;0.8,"60-79%","80%+"))))</f>
        <v>40-59%</v>
      </c>
      <c r="L836" s="10" t="str">
        <f aca="false">IF(H836="","No rating",IF(H836&lt;3.5,"Below 3.5",IF(H836&lt;4,"3.5-3.9",IF(H836&lt;4.5,"4.0-4.4","4.5+"))))</f>
        <v>4.0-4.4</v>
      </c>
    </row>
    <row r="837" customFormat="false" ht="15" hidden="false" customHeight="false" outlineLevel="0" collapsed="false">
      <c r="A837" s="10" t="s">
        <v>1700</v>
      </c>
      <c r="B837" s="10" t="s">
        <v>1701</v>
      </c>
      <c r="C837" s="10" t="s">
        <v>48</v>
      </c>
      <c r="D837" s="10" t="s">
        <v>722</v>
      </c>
      <c r="E837" s="11" t="n">
        <v>1999</v>
      </c>
      <c r="F837" s="11" t="n">
        <v>1679</v>
      </c>
      <c r="G837" s="12" t="n">
        <v>0.16</v>
      </c>
      <c r="H837" s="13" t="n">
        <v>4.1</v>
      </c>
      <c r="I837" s="11" t="n">
        <v>72563</v>
      </c>
      <c r="J837" s="11" t="n">
        <f aca="false">E837-F837</f>
        <v>320</v>
      </c>
      <c r="K837" s="10" t="str">
        <f aca="false">IF(G837&lt;0.2,"0-19%",IF(G837&lt;0.4,"20-39%",IF(G837&lt;0.6,"40-59%",IF(G837&lt;0.8,"60-79%","80%+"))))</f>
        <v>0-19%</v>
      </c>
      <c r="L837" s="10" t="str">
        <f aca="false">IF(H837="","No rating",IF(H837&lt;3.5,"Below 3.5",IF(H837&lt;4,"3.5-3.9",IF(H837&lt;4.5,"4.0-4.4","4.5+"))))</f>
        <v>4.0-4.4</v>
      </c>
    </row>
    <row r="838" customFormat="false" ht="15" hidden="false" customHeight="false" outlineLevel="0" collapsed="false">
      <c r="A838" s="10" t="s">
        <v>1702</v>
      </c>
      <c r="B838" s="10" t="s">
        <v>1703</v>
      </c>
      <c r="C838" s="10" t="s">
        <v>21</v>
      </c>
      <c r="D838" s="10" t="s">
        <v>22</v>
      </c>
      <c r="E838" s="11" t="n">
        <v>1500</v>
      </c>
      <c r="F838" s="11" t="n">
        <v>354</v>
      </c>
      <c r="G838" s="12" t="n">
        <v>0.76</v>
      </c>
      <c r="H838" s="13" t="n">
        <v>4</v>
      </c>
      <c r="I838" s="11" t="n">
        <v>1026</v>
      </c>
      <c r="J838" s="11" t="n">
        <f aca="false">E838-F838</f>
        <v>1146</v>
      </c>
      <c r="K838" s="10" t="str">
        <f aca="false">IF(G838&lt;0.2,"0-19%",IF(G838&lt;0.4,"20-39%",IF(G838&lt;0.6,"40-59%",IF(G838&lt;0.8,"60-79%","80%+"))))</f>
        <v>60-79%</v>
      </c>
      <c r="L838" s="10" t="str">
        <f aca="false">IF(H838="","No rating",IF(H838&lt;3.5,"Below 3.5",IF(H838&lt;4,"3.5-3.9",IF(H838&lt;4.5,"4.0-4.4","4.5+"))))</f>
        <v>4.0-4.4</v>
      </c>
    </row>
    <row r="839" customFormat="false" ht="15" hidden="false" customHeight="false" outlineLevel="0" collapsed="false">
      <c r="A839" s="10" t="s">
        <v>1704</v>
      </c>
      <c r="B839" s="10" t="s">
        <v>1705</v>
      </c>
      <c r="C839" s="10" t="s">
        <v>21</v>
      </c>
      <c r="D839" s="10" t="s">
        <v>22</v>
      </c>
      <c r="E839" s="11" t="n">
        <v>5499</v>
      </c>
      <c r="F839" s="11" t="n">
        <v>1199</v>
      </c>
      <c r="G839" s="12" t="n">
        <v>0.78</v>
      </c>
      <c r="H839" s="13" t="n">
        <v>3.8</v>
      </c>
      <c r="I839" s="11" t="n">
        <v>2043</v>
      </c>
      <c r="J839" s="11" t="n">
        <f aca="false">E839-F839</f>
        <v>4300</v>
      </c>
      <c r="K839" s="10" t="str">
        <f aca="false">IF(G839&lt;0.2,"0-19%",IF(G839&lt;0.4,"20-39%",IF(G839&lt;0.6,"40-59%",IF(G839&lt;0.8,"60-79%","80%+"))))</f>
        <v>60-79%</v>
      </c>
      <c r="L839" s="10" t="str">
        <f aca="false">IF(H839="","No rating",IF(H839&lt;3.5,"Below 3.5",IF(H839&lt;4,"3.5-3.9",IF(H839&lt;4.5,"4.0-4.4","4.5+"))))</f>
        <v>3.5-3.9</v>
      </c>
    </row>
    <row r="840" customFormat="false" ht="15" hidden="false" customHeight="false" outlineLevel="0" collapsed="false">
      <c r="A840" s="10" t="s">
        <v>1706</v>
      </c>
      <c r="B840" s="10" t="s">
        <v>1707</v>
      </c>
      <c r="C840" s="10" t="s">
        <v>21</v>
      </c>
      <c r="D840" s="10" t="s">
        <v>22</v>
      </c>
      <c r="E840" s="11" t="n">
        <v>1499</v>
      </c>
      <c r="F840" s="11" t="n">
        <v>379</v>
      </c>
      <c r="G840" s="12" t="n">
        <v>0.75</v>
      </c>
      <c r="H840" s="13" t="n">
        <v>4.2</v>
      </c>
      <c r="I840" s="11" t="n">
        <v>4149</v>
      </c>
      <c r="J840" s="11" t="n">
        <f aca="false">E840-F840</f>
        <v>1120</v>
      </c>
      <c r="K840" s="10" t="str">
        <f aca="false">IF(G840&lt;0.2,"0-19%",IF(G840&lt;0.4,"20-39%",IF(G840&lt;0.6,"40-59%",IF(G840&lt;0.8,"60-79%","80%+"))))</f>
        <v>60-79%</v>
      </c>
      <c r="L840" s="10" t="str">
        <f aca="false">IF(H840="","No rating",IF(H840&lt;3.5,"Below 3.5",IF(H840&lt;4,"3.5-3.9",IF(H840&lt;4.5,"4.0-4.4","4.5+"))))</f>
        <v>4.0-4.4</v>
      </c>
    </row>
    <row r="841" customFormat="false" ht="15" hidden="false" customHeight="false" outlineLevel="0" collapsed="false">
      <c r="A841" s="10" t="s">
        <v>1708</v>
      </c>
      <c r="B841" s="10" t="s">
        <v>1709</v>
      </c>
      <c r="C841" s="10" t="s">
        <v>21</v>
      </c>
      <c r="D841" s="10" t="s">
        <v>1135</v>
      </c>
      <c r="E841" s="11" t="n">
        <v>775</v>
      </c>
      <c r="F841" s="11" t="n">
        <v>499</v>
      </c>
      <c r="G841" s="12" t="n">
        <v>0.36</v>
      </c>
      <c r="H841" s="13" t="n">
        <v>4.3</v>
      </c>
      <c r="I841" s="11" t="n">
        <v>74</v>
      </c>
      <c r="J841" s="11" t="n">
        <f aca="false">E841-F841</f>
        <v>276</v>
      </c>
      <c r="K841" s="10" t="str">
        <f aca="false">IF(G841&lt;0.2,"0-19%",IF(G841&lt;0.4,"20-39%",IF(G841&lt;0.6,"40-59%",IF(G841&lt;0.8,"60-79%","80%+"))))</f>
        <v>20-39%</v>
      </c>
      <c r="L841" s="10" t="str">
        <f aca="false">IF(H841="","No rating",IF(H841&lt;3.5,"Below 3.5",IF(H841&lt;4,"3.5-3.9",IF(H841&lt;4.5,"4.0-4.4","4.5+"))))</f>
        <v>4.0-4.4</v>
      </c>
    </row>
    <row r="842" customFormat="false" ht="15" hidden="false" customHeight="false" outlineLevel="0" collapsed="false">
      <c r="A842" s="10" t="s">
        <v>1710</v>
      </c>
      <c r="B842" s="10" t="s">
        <v>1711</v>
      </c>
      <c r="C842" s="10" t="s">
        <v>21</v>
      </c>
      <c r="D842" s="10" t="s">
        <v>1135</v>
      </c>
      <c r="E842" s="11" t="n">
        <v>32000</v>
      </c>
      <c r="F842" s="11" t="n">
        <v>10389</v>
      </c>
      <c r="G842" s="12" t="n">
        <v>0.68</v>
      </c>
      <c r="H842" s="13" t="n">
        <v>4.4</v>
      </c>
      <c r="I842" s="11" t="n">
        <v>41398</v>
      </c>
      <c r="J842" s="11" t="n">
        <f aca="false">E842-F842</f>
        <v>21611</v>
      </c>
      <c r="K842" s="10" t="str">
        <f aca="false">IF(G842&lt;0.2,"0-19%",IF(G842&lt;0.4,"20-39%",IF(G842&lt;0.6,"40-59%",IF(G842&lt;0.8,"60-79%","80%+"))))</f>
        <v>60-79%</v>
      </c>
      <c r="L842" s="10" t="str">
        <f aca="false">IF(H842="","No rating",IF(H842&lt;3.5,"Below 3.5",IF(H842&lt;4,"3.5-3.9",IF(H842&lt;4.5,"4.0-4.4","4.5+"))))</f>
        <v>4.0-4.4</v>
      </c>
    </row>
    <row r="843" customFormat="false" ht="15" hidden="false" customHeight="false" outlineLevel="0" collapsed="false">
      <c r="A843" s="10" t="s">
        <v>1712</v>
      </c>
      <c r="B843" s="10" t="s">
        <v>1713</v>
      </c>
      <c r="C843" s="10" t="s">
        <v>21</v>
      </c>
      <c r="D843" s="10" t="s">
        <v>22</v>
      </c>
      <c r="E843" s="11" t="n">
        <v>1300</v>
      </c>
      <c r="F843" s="11" t="n">
        <v>649</v>
      </c>
      <c r="G843" s="12" t="n">
        <v>0.5</v>
      </c>
      <c r="H843" s="13" t="n">
        <v>4.1</v>
      </c>
      <c r="I843" s="11" t="n">
        <v>5195</v>
      </c>
      <c r="J843" s="11" t="n">
        <f aca="false">E843-F843</f>
        <v>651</v>
      </c>
      <c r="K843" s="10" t="str">
        <f aca="false">IF(G843&lt;0.2,"0-19%",IF(G843&lt;0.4,"20-39%",IF(G843&lt;0.6,"40-59%",IF(G843&lt;0.8,"60-79%","80%+"))))</f>
        <v>40-59%</v>
      </c>
      <c r="L843" s="10" t="str">
        <f aca="false">IF(H843="","No rating",IF(H843&lt;3.5,"Below 3.5",IF(H843&lt;4,"3.5-3.9",IF(H843&lt;4.5,"4.0-4.4","4.5+"))))</f>
        <v>4.0-4.4</v>
      </c>
    </row>
    <row r="844" customFormat="false" ht="15" hidden="false" customHeight="false" outlineLevel="0" collapsed="false">
      <c r="A844" s="10" t="s">
        <v>1714</v>
      </c>
      <c r="B844" s="10" t="s">
        <v>1715</v>
      </c>
      <c r="C844" s="10" t="s">
        <v>21</v>
      </c>
      <c r="D844" s="10" t="s">
        <v>39</v>
      </c>
      <c r="E844" s="11" t="n">
        <v>1999</v>
      </c>
      <c r="F844" s="11" t="n">
        <v>1199</v>
      </c>
      <c r="G844" s="12" t="n">
        <v>0.4</v>
      </c>
      <c r="H844" s="13" t="n">
        <v>4.5</v>
      </c>
      <c r="I844" s="11" t="n">
        <v>22420</v>
      </c>
      <c r="J844" s="11" t="n">
        <f aca="false">E844-F844</f>
        <v>800</v>
      </c>
      <c r="K844" s="10" t="str">
        <f aca="false">IF(G844&lt;0.2,"0-19%",IF(G844&lt;0.4,"20-39%",IF(G844&lt;0.6,"40-59%",IF(G844&lt;0.8,"60-79%","80%+"))))</f>
        <v>40-59%</v>
      </c>
      <c r="L844" s="10" t="str">
        <f aca="false">IF(H844="","No rating",IF(H844&lt;3.5,"Below 3.5",IF(H844&lt;4,"3.5-3.9",IF(H844&lt;4.5,"4.0-4.4","4.5+"))))</f>
        <v>4.5+</v>
      </c>
    </row>
    <row r="845" customFormat="false" ht="15" hidden="false" customHeight="false" outlineLevel="0" collapsed="false">
      <c r="A845" s="10" t="s">
        <v>1716</v>
      </c>
      <c r="B845" s="10" t="s">
        <v>1717</v>
      </c>
      <c r="C845" s="10" t="s">
        <v>48</v>
      </c>
      <c r="D845" s="10" t="s">
        <v>722</v>
      </c>
      <c r="E845" s="11" t="n">
        <v>1999</v>
      </c>
      <c r="F845" s="11" t="n">
        <v>889</v>
      </c>
      <c r="G845" s="12" t="n">
        <v>0.56</v>
      </c>
      <c r="H845" s="13" t="n">
        <v>4.2</v>
      </c>
      <c r="I845" s="11" t="n">
        <v>2284</v>
      </c>
      <c r="J845" s="11" t="n">
        <f aca="false">E845-F845</f>
        <v>1110</v>
      </c>
      <c r="K845" s="10" t="str">
        <f aca="false">IF(G845&lt;0.2,"0-19%",IF(G845&lt;0.4,"20-39%",IF(G845&lt;0.6,"40-59%",IF(G845&lt;0.8,"60-79%","80%+"))))</f>
        <v>40-59%</v>
      </c>
      <c r="L845" s="10" t="str">
        <f aca="false">IF(H845="","No rating",IF(H845&lt;3.5,"Below 3.5",IF(H845&lt;4,"3.5-3.9",IF(H845&lt;4.5,"4.0-4.4","4.5+"))))</f>
        <v>4.0-4.4</v>
      </c>
    </row>
    <row r="846" customFormat="false" ht="15" hidden="false" customHeight="false" outlineLevel="0" collapsed="false">
      <c r="A846" s="10" t="s">
        <v>1718</v>
      </c>
      <c r="B846" s="10" t="s">
        <v>1719</v>
      </c>
      <c r="C846" s="10" t="s">
        <v>21</v>
      </c>
      <c r="D846" s="10" t="s">
        <v>22</v>
      </c>
      <c r="E846" s="11" t="n">
        <v>2199</v>
      </c>
      <c r="F846" s="11" t="n">
        <v>1409</v>
      </c>
      <c r="G846" s="12" t="n">
        <v>0.36</v>
      </c>
      <c r="H846" s="13" t="n">
        <v>3.9</v>
      </c>
      <c r="I846" s="11" t="n">
        <v>427</v>
      </c>
      <c r="J846" s="11" t="n">
        <f aca="false">E846-F846</f>
        <v>790</v>
      </c>
      <c r="K846" s="10" t="str">
        <f aca="false">IF(G846&lt;0.2,"0-19%",IF(G846&lt;0.4,"20-39%",IF(G846&lt;0.6,"40-59%",IF(G846&lt;0.8,"60-79%","80%+"))))</f>
        <v>20-39%</v>
      </c>
      <c r="L846" s="10" t="str">
        <f aca="false">IF(H846="","No rating",IF(H846&lt;3.5,"Below 3.5",IF(H846&lt;4,"3.5-3.9",IF(H846&lt;4.5,"4.0-4.4","4.5+"))))</f>
        <v>3.5-3.9</v>
      </c>
    </row>
    <row r="847" customFormat="false" ht="15" hidden="false" customHeight="false" outlineLevel="0" collapsed="false">
      <c r="A847" s="10" t="s">
        <v>1720</v>
      </c>
      <c r="B847" s="10" t="s">
        <v>1721</v>
      </c>
      <c r="C847" s="10" t="s">
        <v>21</v>
      </c>
      <c r="D847" s="10" t="s">
        <v>1217</v>
      </c>
      <c r="E847" s="11" t="n">
        <v>1999</v>
      </c>
      <c r="F847" s="11" t="n">
        <v>549</v>
      </c>
      <c r="G847" s="12" t="n">
        <v>0.73</v>
      </c>
      <c r="H847" s="13" t="n">
        <v>4.3</v>
      </c>
      <c r="I847" s="11" t="n">
        <v>1367</v>
      </c>
      <c r="J847" s="11" t="n">
        <f aca="false">E847-F847</f>
        <v>1450</v>
      </c>
      <c r="K847" s="10" t="str">
        <f aca="false">IF(G847&lt;0.2,"0-19%",IF(G847&lt;0.4,"20-39%",IF(G847&lt;0.6,"40-59%",IF(G847&lt;0.8,"60-79%","80%+"))))</f>
        <v>60-79%</v>
      </c>
      <c r="L847" s="10" t="str">
        <f aca="false">IF(H847="","No rating",IF(H847&lt;3.5,"Below 3.5",IF(H847&lt;4,"3.5-3.9",IF(H847&lt;4.5,"4.0-4.4","4.5+"))))</f>
        <v>4.0-4.4</v>
      </c>
    </row>
    <row r="848" customFormat="false" ht="15" hidden="false" customHeight="false" outlineLevel="0" collapsed="false">
      <c r="A848" s="10" t="s">
        <v>1722</v>
      </c>
      <c r="B848" s="10" t="s">
        <v>1723</v>
      </c>
      <c r="C848" s="10" t="s">
        <v>21</v>
      </c>
      <c r="D848" s="10" t="s">
        <v>22</v>
      </c>
      <c r="E848" s="11" t="n">
        <v>1799</v>
      </c>
      <c r="F848" s="11" t="n">
        <v>749</v>
      </c>
      <c r="G848" s="12" t="n">
        <v>0.58</v>
      </c>
      <c r="H848" s="13" t="n">
        <v>4</v>
      </c>
      <c r="I848" s="11" t="n">
        <v>13199</v>
      </c>
      <c r="J848" s="11" t="n">
        <f aca="false">E848-F848</f>
        <v>1050</v>
      </c>
      <c r="K848" s="10" t="str">
        <f aca="false">IF(G848&lt;0.2,"0-19%",IF(G848&lt;0.4,"20-39%",IF(G848&lt;0.6,"40-59%",IF(G848&lt;0.8,"60-79%","80%+"))))</f>
        <v>40-59%</v>
      </c>
      <c r="L848" s="10" t="str">
        <f aca="false">IF(H848="","No rating",IF(H848&lt;3.5,"Below 3.5",IF(H848&lt;4,"3.5-3.9",IF(H848&lt;4.5,"4.0-4.4","4.5+"))))</f>
        <v>4.0-4.4</v>
      </c>
    </row>
    <row r="849" customFormat="false" ht="15" hidden="false" customHeight="false" outlineLevel="0" collapsed="false">
      <c r="A849" s="10" t="s">
        <v>1724</v>
      </c>
      <c r="B849" s="10" t="s">
        <v>1725</v>
      </c>
      <c r="C849" s="10" t="s">
        <v>21</v>
      </c>
      <c r="D849" s="10" t="s">
        <v>22</v>
      </c>
      <c r="E849" s="11" t="n">
        <v>1099</v>
      </c>
      <c r="F849" s="11" t="n">
        <v>379</v>
      </c>
      <c r="G849" s="12" t="n">
        <v>0.66</v>
      </c>
      <c r="H849" s="13" t="n">
        <v>4.3</v>
      </c>
      <c r="I849" s="11" t="n">
        <v>2806</v>
      </c>
      <c r="J849" s="11" t="n">
        <f aca="false">E849-F849</f>
        <v>720</v>
      </c>
      <c r="K849" s="10" t="str">
        <f aca="false">IF(G849&lt;0.2,"0-19%",IF(G849&lt;0.4,"20-39%",IF(G849&lt;0.6,"40-59%",IF(G849&lt;0.8,"60-79%","80%+"))))</f>
        <v>60-79%</v>
      </c>
      <c r="L849" s="10" t="str">
        <f aca="false">IF(H849="","No rating",IF(H849&lt;3.5,"Below 3.5",IF(H849&lt;4,"3.5-3.9",IF(H849&lt;4.5,"4.0-4.4","4.5+"))))</f>
        <v>4.0-4.4</v>
      </c>
    </row>
    <row r="850" customFormat="false" ht="15" hidden="false" customHeight="false" outlineLevel="0" collapsed="false">
      <c r="A850" s="10" t="s">
        <v>1726</v>
      </c>
      <c r="B850" s="10" t="s">
        <v>1727</v>
      </c>
      <c r="C850" s="10" t="s">
        <v>48</v>
      </c>
      <c r="D850" s="10" t="s">
        <v>693</v>
      </c>
      <c r="E850" s="11" t="n">
        <v>7999</v>
      </c>
      <c r="F850" s="11" t="n">
        <v>5998</v>
      </c>
      <c r="G850" s="12" t="n">
        <v>0.25</v>
      </c>
      <c r="H850" s="13" t="n">
        <v>4.2</v>
      </c>
      <c r="I850" s="11" t="n">
        <v>30355</v>
      </c>
      <c r="J850" s="11" t="n">
        <f aca="false">E850-F850</f>
        <v>2001</v>
      </c>
      <c r="K850" s="10" t="str">
        <f aca="false">IF(G850&lt;0.2,"0-19%",IF(G850&lt;0.4,"20-39%",IF(G850&lt;0.6,"40-59%",IF(G850&lt;0.8,"60-79%","80%+"))))</f>
        <v>20-39%</v>
      </c>
      <c r="L850" s="10" t="str">
        <f aca="false">IF(H850="","No rating",IF(H850&lt;3.5,"Below 3.5",IF(H850&lt;4,"3.5-3.9",IF(H850&lt;4.5,"4.0-4.4","4.5+"))))</f>
        <v>4.0-4.4</v>
      </c>
    </row>
    <row r="851" customFormat="false" ht="15" hidden="false" customHeight="false" outlineLevel="0" collapsed="false">
      <c r="A851" s="10" t="s">
        <v>1728</v>
      </c>
      <c r="B851" s="10" t="s">
        <v>1729</v>
      </c>
      <c r="C851" s="10" t="s">
        <v>21</v>
      </c>
      <c r="D851" s="10" t="s">
        <v>22</v>
      </c>
      <c r="E851" s="11" t="n">
        <v>1499</v>
      </c>
      <c r="F851" s="11" t="n">
        <v>299</v>
      </c>
      <c r="G851" s="12" t="n">
        <v>0.8</v>
      </c>
      <c r="H851" s="13" t="n">
        <v>4.2</v>
      </c>
      <c r="I851" s="11" t="n">
        <v>2868</v>
      </c>
      <c r="J851" s="11" t="n">
        <f aca="false">E851-F851</f>
        <v>1200</v>
      </c>
      <c r="K851" s="10" t="str">
        <f aca="false">IF(G851&lt;0.2,"0-19%",IF(G851&lt;0.4,"20-39%",IF(G851&lt;0.6,"40-59%",IF(G851&lt;0.8,"60-79%","80%+"))))</f>
        <v>80%+</v>
      </c>
      <c r="L851" s="10" t="str">
        <f aca="false">IF(H851="","No rating",IF(H851&lt;3.5,"Below 3.5",IF(H851&lt;4,"3.5-3.9",IF(H851&lt;4.5,"4.0-4.4","4.5+"))))</f>
        <v>4.0-4.4</v>
      </c>
    </row>
    <row r="852" customFormat="false" ht="15" hidden="false" customHeight="false" outlineLevel="0" collapsed="false">
      <c r="A852" s="10" t="s">
        <v>1730</v>
      </c>
      <c r="B852" s="10" t="s">
        <v>1731</v>
      </c>
      <c r="C852" s="10" t="s">
        <v>21</v>
      </c>
      <c r="D852" s="10" t="s">
        <v>22</v>
      </c>
      <c r="E852" s="11" t="n">
        <v>1499</v>
      </c>
      <c r="F852" s="11" t="n">
        <v>379</v>
      </c>
      <c r="G852" s="12" t="n">
        <v>0.75</v>
      </c>
      <c r="H852" s="13" t="n">
        <v>4.1</v>
      </c>
      <c r="I852" s="11" t="n">
        <v>670</v>
      </c>
      <c r="J852" s="11" t="n">
        <f aca="false">E852-F852</f>
        <v>1120</v>
      </c>
      <c r="K852" s="10" t="str">
        <f aca="false">IF(G852&lt;0.2,"0-19%",IF(G852&lt;0.4,"20-39%",IF(G852&lt;0.6,"40-59%",IF(G852&lt;0.8,"60-79%","80%+"))))</f>
        <v>60-79%</v>
      </c>
      <c r="L852" s="10" t="str">
        <f aca="false">IF(H852="","No rating",IF(H852&lt;3.5,"Below 3.5",IF(H852&lt;4,"3.5-3.9",IF(H852&lt;4.5,"4.0-4.4","4.5+"))))</f>
        <v>4.0-4.4</v>
      </c>
    </row>
    <row r="853" customFormat="false" ht="15" hidden="false" customHeight="false" outlineLevel="0" collapsed="false">
      <c r="A853" s="10" t="s">
        <v>1732</v>
      </c>
      <c r="B853" s="10" t="s">
        <v>1733</v>
      </c>
      <c r="C853" s="10" t="s">
        <v>1177</v>
      </c>
      <c r="D853" s="10" t="s">
        <v>1178</v>
      </c>
      <c r="E853" s="11" t="n">
        <v>2999</v>
      </c>
      <c r="F853" s="11" t="n">
        <v>1399</v>
      </c>
      <c r="G853" s="12" t="n">
        <v>0.53</v>
      </c>
      <c r="H853" s="13" t="n">
        <v>4.3</v>
      </c>
      <c r="I853" s="11" t="n">
        <v>3530</v>
      </c>
      <c r="J853" s="11" t="n">
        <f aca="false">E853-F853</f>
        <v>1600</v>
      </c>
      <c r="K853" s="10" t="str">
        <f aca="false">IF(G853&lt;0.2,"0-19%",IF(G853&lt;0.4,"20-39%",IF(G853&lt;0.6,"40-59%",IF(G853&lt;0.8,"60-79%","80%+"))))</f>
        <v>40-59%</v>
      </c>
      <c r="L853" s="10" t="str">
        <f aca="false">IF(H853="","No rating",IF(H853&lt;3.5,"Below 3.5",IF(H853&lt;4,"3.5-3.9",IF(H853&lt;4.5,"4.0-4.4","4.5+"))))</f>
        <v>4.0-4.4</v>
      </c>
    </row>
    <row r="854" customFormat="false" ht="15" hidden="false" customHeight="false" outlineLevel="0" collapsed="false">
      <c r="A854" s="10" t="s">
        <v>1734</v>
      </c>
      <c r="B854" s="10" t="s">
        <v>1735</v>
      </c>
      <c r="C854" s="10" t="s">
        <v>48</v>
      </c>
      <c r="D854" s="10" t="s">
        <v>1193</v>
      </c>
      <c r="E854" s="11" t="n">
        <v>1299</v>
      </c>
      <c r="F854" s="11" t="n">
        <v>699</v>
      </c>
      <c r="G854" s="12" t="n">
        <v>0.46</v>
      </c>
      <c r="H854" s="13" t="n">
        <v>4.3</v>
      </c>
      <c r="I854" s="11" t="n">
        <v>6183</v>
      </c>
      <c r="J854" s="11" t="n">
        <f aca="false">E854-F854</f>
        <v>600</v>
      </c>
      <c r="K854" s="10" t="str">
        <f aca="false">IF(G854&lt;0.2,"0-19%",IF(G854&lt;0.4,"20-39%",IF(G854&lt;0.6,"40-59%",IF(G854&lt;0.8,"60-79%","80%+"))))</f>
        <v>40-59%</v>
      </c>
      <c r="L854" s="10" t="str">
        <f aca="false">IF(H854="","No rating",IF(H854&lt;3.5,"Below 3.5",IF(H854&lt;4,"3.5-3.9",IF(H854&lt;4.5,"4.0-4.4","4.5+"))))</f>
        <v>4.0-4.4</v>
      </c>
    </row>
    <row r="855" customFormat="false" ht="15" hidden="false" customHeight="false" outlineLevel="0" collapsed="false">
      <c r="A855" s="10" t="s">
        <v>1736</v>
      </c>
      <c r="B855" s="10" t="s">
        <v>1737</v>
      </c>
      <c r="C855" s="10" t="s">
        <v>1177</v>
      </c>
      <c r="D855" s="10" t="s">
        <v>1178</v>
      </c>
      <c r="E855" s="11" t="n">
        <v>300</v>
      </c>
      <c r="F855" s="11" t="n">
        <v>300</v>
      </c>
      <c r="G855" s="12" t="n">
        <v>0</v>
      </c>
      <c r="H855" s="13" t="n">
        <v>4.2</v>
      </c>
      <c r="I855" s="11" t="n">
        <v>419</v>
      </c>
      <c r="J855" s="11" t="n">
        <f aca="false">E855-F855</f>
        <v>0</v>
      </c>
      <c r="K855" s="10" t="str">
        <f aca="false">IF(G855&lt;0.2,"0-19%",IF(G855&lt;0.4,"20-39%",IF(G855&lt;0.6,"40-59%",IF(G855&lt;0.8,"60-79%","80%+"))))</f>
        <v>0-19%</v>
      </c>
      <c r="L855" s="10" t="str">
        <f aca="false">IF(H855="","No rating",IF(H855&lt;3.5,"Below 3.5",IF(H855&lt;4,"3.5-3.9",IF(H855&lt;4.5,"4.0-4.4","4.5+"))))</f>
        <v>4.0-4.4</v>
      </c>
    </row>
    <row r="856" customFormat="false" ht="15" hidden="false" customHeight="false" outlineLevel="0" collapsed="false">
      <c r="A856" s="10" t="s">
        <v>1738</v>
      </c>
      <c r="B856" s="10" t="s">
        <v>1739</v>
      </c>
      <c r="C856" s="10" t="s">
        <v>21</v>
      </c>
      <c r="D856" s="10" t="s">
        <v>22</v>
      </c>
      <c r="E856" s="11" t="n">
        <v>1995</v>
      </c>
      <c r="F856" s="11" t="n">
        <v>999</v>
      </c>
      <c r="G856" s="12" t="n">
        <v>0.5</v>
      </c>
      <c r="H856" s="13" t="n">
        <v>4.5</v>
      </c>
      <c r="I856" s="11" t="n">
        <v>7317</v>
      </c>
      <c r="J856" s="11" t="n">
        <f aca="false">E856-F856</f>
        <v>996</v>
      </c>
      <c r="K856" s="10" t="str">
        <f aca="false">IF(G856&lt;0.2,"0-19%",IF(G856&lt;0.4,"20-39%",IF(G856&lt;0.6,"40-59%",IF(G856&lt;0.8,"60-79%","80%+"))))</f>
        <v>40-59%</v>
      </c>
      <c r="L856" s="10" t="str">
        <f aca="false">IF(H856="","No rating",IF(H856&lt;3.5,"Below 3.5",IF(H856&lt;4,"3.5-3.9",IF(H856&lt;4.5,"4.0-4.4","4.5+"))))</f>
        <v>4.5+</v>
      </c>
    </row>
    <row r="857" customFormat="false" ht="15" hidden="false" customHeight="false" outlineLevel="0" collapsed="false">
      <c r="A857" s="10" t="s">
        <v>1740</v>
      </c>
      <c r="B857" s="10" t="s">
        <v>1741</v>
      </c>
      <c r="C857" s="10" t="s">
        <v>1177</v>
      </c>
      <c r="D857" s="10" t="s">
        <v>1208</v>
      </c>
      <c r="E857" s="11" t="n">
        <v>535</v>
      </c>
      <c r="F857" s="11" t="n">
        <v>535</v>
      </c>
      <c r="G857" s="12" t="n">
        <v>0</v>
      </c>
      <c r="H857" s="13" t="n">
        <v>4.4</v>
      </c>
      <c r="I857" s="11" t="n">
        <v>4426</v>
      </c>
      <c r="J857" s="11" t="n">
        <f aca="false">E857-F857</f>
        <v>0</v>
      </c>
      <c r="K857" s="10" t="str">
        <f aca="false">IF(G857&lt;0.2,"0-19%",IF(G857&lt;0.4,"20-39%",IF(G857&lt;0.6,"40-59%",IF(G857&lt;0.8,"60-79%","80%+"))))</f>
        <v>0-19%</v>
      </c>
      <c r="L857" s="10" t="str">
        <f aca="false">IF(H857="","No rating",IF(H857&lt;3.5,"Below 3.5",IF(H857&lt;4,"3.5-3.9",IF(H857&lt;4.5,"4.0-4.4","4.5+"))))</f>
        <v>4.0-4.4</v>
      </c>
    </row>
    <row r="858" customFormat="false" ht="15" hidden="false" customHeight="false" outlineLevel="0" collapsed="false">
      <c r="A858" s="10" t="s">
        <v>1742</v>
      </c>
      <c r="B858" s="10" t="s">
        <v>1743</v>
      </c>
      <c r="C858" s="10" t="s">
        <v>21</v>
      </c>
      <c r="D858" s="10" t="s">
        <v>22</v>
      </c>
      <c r="E858" s="11" t="n">
        <v>1099</v>
      </c>
      <c r="F858" s="11" t="n">
        <v>269</v>
      </c>
      <c r="G858" s="12" t="n">
        <v>0.76</v>
      </c>
      <c r="H858" s="13" t="n">
        <v>4.1</v>
      </c>
      <c r="I858" s="11" t="n">
        <v>1092</v>
      </c>
      <c r="J858" s="11" t="n">
        <f aca="false">E858-F858</f>
        <v>830</v>
      </c>
      <c r="K858" s="10" t="str">
        <f aca="false">IF(G858&lt;0.2,"0-19%",IF(G858&lt;0.4,"20-39%",IF(G858&lt;0.6,"40-59%",IF(G858&lt;0.8,"60-79%","80%+"))))</f>
        <v>60-79%</v>
      </c>
      <c r="L858" s="10" t="str">
        <f aca="false">IF(H858="","No rating",IF(H858&lt;3.5,"Below 3.5",IF(H858&lt;4,"3.5-3.9",IF(H858&lt;4.5,"4.0-4.4","4.5+"))))</f>
        <v>4.0-4.4</v>
      </c>
    </row>
    <row r="859" customFormat="false" ht="15" hidden="false" customHeight="false" outlineLevel="0" collapsed="false">
      <c r="A859" s="10" t="s">
        <v>1744</v>
      </c>
      <c r="B859" s="10" t="s">
        <v>1745</v>
      </c>
      <c r="C859" s="10" t="s">
        <v>1177</v>
      </c>
      <c r="D859" s="10" t="s">
        <v>1178</v>
      </c>
      <c r="E859" s="11" t="n">
        <v>450</v>
      </c>
      <c r="F859" s="11" t="n">
        <v>341</v>
      </c>
      <c r="G859" s="12" t="n">
        <v>0.24</v>
      </c>
      <c r="H859" s="13" t="n">
        <v>4.3</v>
      </c>
      <c r="I859" s="11" t="n">
        <v>2493</v>
      </c>
      <c r="J859" s="11" t="n">
        <f aca="false">E859-F859</f>
        <v>109</v>
      </c>
      <c r="K859" s="10" t="str">
        <f aca="false">IF(G859&lt;0.2,"0-19%",IF(G859&lt;0.4,"20-39%",IF(G859&lt;0.6,"40-59%",IF(G859&lt;0.8,"60-79%","80%+"))))</f>
        <v>20-39%</v>
      </c>
      <c r="L859" s="10" t="str">
        <f aca="false">IF(H859="","No rating",IF(H859&lt;3.5,"Below 3.5",IF(H859&lt;4,"3.5-3.9",IF(H859&lt;4.5,"4.0-4.4","4.5+"))))</f>
        <v>4.0-4.4</v>
      </c>
    </row>
    <row r="860" customFormat="false" ht="15" hidden="false" customHeight="false" outlineLevel="0" collapsed="false">
      <c r="A860" s="10" t="s">
        <v>1746</v>
      </c>
      <c r="B860" s="10" t="s">
        <v>1747</v>
      </c>
      <c r="C860" s="10" t="s">
        <v>21</v>
      </c>
      <c r="D860" s="10" t="s">
        <v>39</v>
      </c>
      <c r="E860" s="11" t="n">
        <v>3999</v>
      </c>
      <c r="F860" s="11" t="n">
        <v>2499</v>
      </c>
      <c r="G860" s="12" t="n">
        <v>0.38</v>
      </c>
      <c r="H860" s="13" t="n">
        <v>4.4</v>
      </c>
      <c r="I860" s="11" t="n">
        <v>12679</v>
      </c>
      <c r="J860" s="11" t="n">
        <f aca="false">E860-F860</f>
        <v>1500</v>
      </c>
      <c r="K860" s="10" t="str">
        <f aca="false">IF(G860&lt;0.2,"0-19%",IF(G860&lt;0.4,"20-39%",IF(G860&lt;0.6,"40-59%",IF(G860&lt;0.8,"60-79%","80%+"))))</f>
        <v>20-39%</v>
      </c>
      <c r="L860" s="10" t="str">
        <f aca="false">IF(H860="","No rating",IF(H860&lt;3.5,"Below 3.5",IF(H860&lt;4,"3.5-3.9",IF(H860&lt;4.5,"4.0-4.4","4.5+"))))</f>
        <v>4.0-4.4</v>
      </c>
    </row>
    <row r="861" customFormat="false" ht="15" hidden="false" customHeight="false" outlineLevel="0" collapsed="false">
      <c r="A861" s="10" t="s">
        <v>1748</v>
      </c>
      <c r="B861" s="10" t="s">
        <v>1749</v>
      </c>
      <c r="C861" s="10" t="s">
        <v>21</v>
      </c>
      <c r="D861" s="10" t="s">
        <v>1217</v>
      </c>
      <c r="E861" s="11" t="n">
        <v>7005</v>
      </c>
      <c r="F861" s="11" t="n">
        <v>5899</v>
      </c>
      <c r="G861" s="12" t="n">
        <v>0.16</v>
      </c>
      <c r="H861" s="13" t="n">
        <v>3.6</v>
      </c>
      <c r="I861" s="11" t="n">
        <v>4199</v>
      </c>
      <c r="J861" s="11" t="n">
        <f aca="false">E861-F861</f>
        <v>1106</v>
      </c>
      <c r="K861" s="10" t="str">
        <f aca="false">IF(G861&lt;0.2,"0-19%",IF(G861&lt;0.4,"20-39%",IF(G861&lt;0.6,"40-59%",IF(G861&lt;0.8,"60-79%","80%+"))))</f>
        <v>0-19%</v>
      </c>
      <c r="L861" s="10" t="str">
        <f aca="false">IF(H861="","No rating",IF(H861&lt;3.5,"Below 3.5",IF(H861&lt;4,"3.5-3.9",IF(H861&lt;4.5,"4.0-4.4","4.5+"))))</f>
        <v>3.5-3.9</v>
      </c>
    </row>
    <row r="862" customFormat="false" ht="15" hidden="false" customHeight="false" outlineLevel="0" collapsed="false">
      <c r="A862" s="10" t="s">
        <v>1750</v>
      </c>
      <c r="B862" s="10" t="s">
        <v>1751</v>
      </c>
      <c r="C862" s="10" t="s">
        <v>21</v>
      </c>
      <c r="D862" s="10" t="s">
        <v>39</v>
      </c>
      <c r="E862" s="11" t="n">
        <v>2999</v>
      </c>
      <c r="F862" s="11" t="n">
        <v>1565</v>
      </c>
      <c r="G862" s="12" t="n">
        <v>0.48</v>
      </c>
      <c r="H862" s="13" t="n">
        <v>4</v>
      </c>
      <c r="I862" s="11" t="n">
        <v>11113</v>
      </c>
      <c r="J862" s="11" t="n">
        <f aca="false">E862-F862</f>
        <v>1434</v>
      </c>
      <c r="K862" s="10" t="str">
        <f aca="false">IF(G862&lt;0.2,"0-19%",IF(G862&lt;0.4,"20-39%",IF(G862&lt;0.6,"40-59%",IF(G862&lt;0.8,"60-79%","80%+"))))</f>
        <v>40-59%</v>
      </c>
      <c r="L862" s="10" t="str">
        <f aca="false">IF(H862="","No rating",IF(H862&lt;3.5,"Below 3.5",IF(H862&lt;4,"3.5-3.9",IF(H862&lt;4.5,"4.0-4.4","4.5+"))))</f>
        <v>4.0-4.4</v>
      </c>
    </row>
    <row r="863" customFormat="false" ht="15" hidden="false" customHeight="false" outlineLevel="0" collapsed="false">
      <c r="A863" s="10" t="s">
        <v>1752</v>
      </c>
      <c r="B863" s="10" t="s">
        <v>1753</v>
      </c>
      <c r="C863" s="10" t="s">
        <v>48</v>
      </c>
      <c r="D863" s="10" t="s">
        <v>1193</v>
      </c>
      <c r="E863" s="11" t="n">
        <v>799</v>
      </c>
      <c r="F863" s="11" t="n">
        <v>326</v>
      </c>
      <c r="G863" s="12" t="n">
        <v>0.59</v>
      </c>
      <c r="H863" s="13" t="n">
        <v>4.4</v>
      </c>
      <c r="I863" s="11" t="n">
        <v>10773</v>
      </c>
      <c r="J863" s="11" t="n">
        <f aca="false">E863-F863</f>
        <v>473</v>
      </c>
      <c r="K863" s="10" t="str">
        <f aca="false">IF(G863&lt;0.2,"0-19%",IF(G863&lt;0.4,"20-39%",IF(G863&lt;0.6,"40-59%",IF(G863&lt;0.8,"60-79%","80%+"))))</f>
        <v>40-59%</v>
      </c>
      <c r="L863" s="10" t="str">
        <f aca="false">IF(H863="","No rating",IF(H863&lt;3.5,"Below 3.5",IF(H863&lt;4,"3.5-3.9",IF(H863&lt;4.5,"4.0-4.4","4.5+"))))</f>
        <v>4.0-4.4</v>
      </c>
    </row>
    <row r="864" customFormat="false" ht="15" hidden="false" customHeight="false" outlineLevel="0" collapsed="false">
      <c r="A864" s="10" t="s">
        <v>1754</v>
      </c>
      <c r="B864" s="10" t="s">
        <v>1755</v>
      </c>
      <c r="C864" s="10" t="s">
        <v>21</v>
      </c>
      <c r="D864" s="10" t="s">
        <v>1135</v>
      </c>
      <c r="E864" s="11" t="n">
        <v>999</v>
      </c>
      <c r="F864" s="11" t="n">
        <v>657</v>
      </c>
      <c r="G864" s="12" t="n">
        <v>0.34</v>
      </c>
      <c r="H864" s="13" t="n">
        <v>4.3</v>
      </c>
      <c r="I864" s="11" t="n">
        <v>13944</v>
      </c>
      <c r="J864" s="11" t="n">
        <f aca="false">E864-F864</f>
        <v>342</v>
      </c>
      <c r="K864" s="10" t="str">
        <f aca="false">IF(G864&lt;0.2,"0-19%",IF(G864&lt;0.4,"20-39%",IF(G864&lt;0.6,"40-59%",IF(G864&lt;0.8,"60-79%","80%+"))))</f>
        <v>20-39%</v>
      </c>
      <c r="L864" s="10" t="str">
        <f aca="false">IF(H864="","No rating",IF(H864&lt;3.5,"Below 3.5",IF(H864&lt;4,"3.5-3.9",IF(H864&lt;4.5,"4.0-4.4","4.5+"))))</f>
        <v>4.0-4.4</v>
      </c>
    </row>
    <row r="865" customFormat="false" ht="15" hidden="false" customHeight="false" outlineLevel="0" collapsed="false">
      <c r="A865" s="10" t="s">
        <v>1756</v>
      </c>
      <c r="B865" s="10" t="s">
        <v>1757</v>
      </c>
      <c r="C865" s="10" t="s">
        <v>21</v>
      </c>
      <c r="D865" s="10" t="s">
        <v>22</v>
      </c>
      <c r="E865" s="11" t="n">
        <v>2895</v>
      </c>
      <c r="F865" s="11" t="n">
        <v>1995</v>
      </c>
      <c r="G865" s="12" t="n">
        <v>0.31</v>
      </c>
      <c r="H865" s="13" t="n">
        <v>4.6</v>
      </c>
      <c r="I865" s="11" t="n">
        <v>10760</v>
      </c>
      <c r="J865" s="11" t="n">
        <f aca="false">E865-F865</f>
        <v>900</v>
      </c>
      <c r="K865" s="10" t="str">
        <f aca="false">IF(G865&lt;0.2,"0-19%",IF(G865&lt;0.4,"20-39%",IF(G865&lt;0.6,"40-59%",IF(G865&lt;0.8,"60-79%","80%+"))))</f>
        <v>20-39%</v>
      </c>
      <c r="L865" s="10" t="str">
        <f aca="false">IF(H865="","No rating",IF(H865&lt;3.5,"Below 3.5",IF(H865&lt;4,"3.5-3.9",IF(H865&lt;4.5,"4.0-4.4","4.5+"))))</f>
        <v>4.5+</v>
      </c>
    </row>
    <row r="866" customFormat="false" ht="15" hidden="false" customHeight="false" outlineLevel="0" collapsed="false">
      <c r="A866" s="10" t="s">
        <v>1758</v>
      </c>
      <c r="B866" s="10" t="s">
        <v>1759</v>
      </c>
      <c r="C866" s="10" t="s">
        <v>48</v>
      </c>
      <c r="D866" s="10" t="s">
        <v>1174</v>
      </c>
      <c r="E866" s="11" t="n">
        <v>1500</v>
      </c>
      <c r="F866" s="11" t="n">
        <v>1500</v>
      </c>
      <c r="G866" s="12" t="n">
        <v>0</v>
      </c>
      <c r="H866" s="13" t="n">
        <v>4.4</v>
      </c>
      <c r="I866" s="11" t="n">
        <v>25996</v>
      </c>
      <c r="J866" s="11" t="n">
        <f aca="false">E866-F866</f>
        <v>0</v>
      </c>
      <c r="K866" s="10" t="str">
        <f aca="false">IF(G866&lt;0.2,"0-19%",IF(G866&lt;0.4,"20-39%",IF(G866&lt;0.6,"40-59%",IF(G866&lt;0.8,"60-79%","80%+"))))</f>
        <v>0-19%</v>
      </c>
      <c r="L866" s="10" t="str">
        <f aca="false">IF(H866="","No rating",IF(H866&lt;3.5,"Below 3.5",IF(H866&lt;4,"3.5-3.9",IF(H866&lt;4.5,"4.0-4.4","4.5+"))))</f>
        <v>4.0-4.4</v>
      </c>
    </row>
    <row r="867" customFormat="false" ht="15" hidden="false" customHeight="false" outlineLevel="0" collapsed="false">
      <c r="A867" s="10" t="s">
        <v>1760</v>
      </c>
      <c r="B867" s="10" t="s">
        <v>1761</v>
      </c>
      <c r="C867" s="10" t="s">
        <v>21</v>
      </c>
      <c r="D867" s="10" t="s">
        <v>22</v>
      </c>
      <c r="E867" s="11" t="n">
        <v>3195</v>
      </c>
      <c r="F867" s="11" t="n">
        <v>2640</v>
      </c>
      <c r="G867" s="12" t="n">
        <v>0.17</v>
      </c>
      <c r="H867" s="13" t="n">
        <v>4.5</v>
      </c>
      <c r="I867" s="11" t="n">
        <v>16146</v>
      </c>
      <c r="J867" s="11" t="n">
        <f aca="false">E867-F867</f>
        <v>555</v>
      </c>
      <c r="K867" s="10" t="str">
        <f aca="false">IF(G867&lt;0.2,"0-19%",IF(G867&lt;0.4,"20-39%",IF(G867&lt;0.6,"40-59%",IF(G867&lt;0.8,"60-79%","80%+"))))</f>
        <v>0-19%</v>
      </c>
      <c r="L867" s="10" t="str">
        <f aca="false">IF(H867="","No rating",IF(H867&lt;3.5,"Below 3.5",IF(H867&lt;4,"3.5-3.9",IF(H867&lt;4.5,"4.0-4.4","4.5+"))))</f>
        <v>4.5+</v>
      </c>
    </row>
    <row r="868" customFormat="false" ht="15" hidden="false" customHeight="false" outlineLevel="0" collapsed="false">
      <c r="A868" s="10" t="s">
        <v>1762</v>
      </c>
      <c r="B868" s="10" t="s">
        <v>1763</v>
      </c>
      <c r="C868" s="10" t="s">
        <v>21</v>
      </c>
      <c r="D868" s="10" t="s">
        <v>1217</v>
      </c>
      <c r="E868" s="11" t="n">
        <v>6355</v>
      </c>
      <c r="F868" s="11" t="n">
        <v>5299</v>
      </c>
      <c r="G868" s="12" t="n">
        <v>0.17</v>
      </c>
      <c r="H868" s="13" t="n">
        <v>3.9</v>
      </c>
      <c r="I868" s="11" t="n">
        <v>8280</v>
      </c>
      <c r="J868" s="11" t="n">
        <f aca="false">E868-F868</f>
        <v>1056</v>
      </c>
      <c r="K868" s="10" t="str">
        <f aca="false">IF(G868&lt;0.2,"0-19%",IF(G868&lt;0.4,"20-39%",IF(G868&lt;0.6,"40-59%",IF(G868&lt;0.8,"60-79%","80%+"))))</f>
        <v>0-19%</v>
      </c>
      <c r="L868" s="10" t="str">
        <f aca="false">IF(H868="","No rating",IF(H868&lt;3.5,"Below 3.5",IF(H868&lt;4,"3.5-3.9",IF(H868&lt;4.5,"4.0-4.4","4.5+"))))</f>
        <v>3.5-3.9</v>
      </c>
    </row>
    <row r="869" customFormat="false" ht="15" hidden="false" customHeight="false" outlineLevel="0" collapsed="false">
      <c r="A869" s="10" t="s">
        <v>1764</v>
      </c>
      <c r="B869" s="10" t="s">
        <v>1765</v>
      </c>
      <c r="C869" s="10" t="s">
        <v>21</v>
      </c>
      <c r="D869" s="10" t="s">
        <v>22</v>
      </c>
      <c r="E869" s="11" t="n">
        <v>2999</v>
      </c>
      <c r="F869" s="11" t="n">
        <v>1990</v>
      </c>
      <c r="G869" s="12" t="n">
        <v>0.34</v>
      </c>
      <c r="H869" s="13" t="n">
        <v>4.3</v>
      </c>
      <c r="I869" s="11" t="n">
        <v>14237</v>
      </c>
      <c r="J869" s="11" t="n">
        <f aca="false">E869-F869</f>
        <v>1009</v>
      </c>
      <c r="K869" s="10" t="str">
        <f aca="false">IF(G869&lt;0.2,"0-19%",IF(G869&lt;0.4,"20-39%",IF(G869&lt;0.6,"40-59%",IF(G869&lt;0.8,"60-79%","80%+"))))</f>
        <v>20-39%</v>
      </c>
      <c r="L869" s="10" t="str">
        <f aca="false">IF(H869="","No rating",IF(H869&lt;3.5,"Below 3.5",IF(H869&lt;4,"3.5-3.9",IF(H869&lt;4.5,"4.0-4.4","4.5+"))))</f>
        <v>4.0-4.4</v>
      </c>
    </row>
    <row r="870" customFormat="false" ht="15" hidden="false" customHeight="false" outlineLevel="0" collapsed="false">
      <c r="A870" s="10" t="s">
        <v>1766</v>
      </c>
      <c r="B870" s="10" t="s">
        <v>1767</v>
      </c>
      <c r="C870" s="10" t="s">
        <v>48</v>
      </c>
      <c r="D870" s="10" t="s">
        <v>1768</v>
      </c>
      <c r="E870" s="11" t="n">
        <v>1499</v>
      </c>
      <c r="F870" s="11" t="n">
        <v>1289</v>
      </c>
      <c r="G870" s="12" t="n">
        <v>0.14</v>
      </c>
      <c r="H870" s="13" t="n">
        <v>4.5</v>
      </c>
      <c r="I870" s="11" t="n">
        <v>20668</v>
      </c>
      <c r="J870" s="11" t="n">
        <f aca="false">E870-F870</f>
        <v>210</v>
      </c>
      <c r="K870" s="10" t="str">
        <f aca="false">IF(G870&lt;0.2,"0-19%",IF(G870&lt;0.4,"20-39%",IF(G870&lt;0.6,"40-59%",IF(G870&lt;0.8,"60-79%","80%+"))))</f>
        <v>0-19%</v>
      </c>
      <c r="L870" s="10" t="str">
        <f aca="false">IF(H870="","No rating",IF(H870&lt;3.5,"Below 3.5",IF(H870&lt;4,"3.5-3.9",IF(H870&lt;4.5,"4.0-4.4","4.5+"))))</f>
        <v>4.5+</v>
      </c>
    </row>
    <row r="871" customFormat="false" ht="15" hidden="false" customHeight="false" outlineLevel="0" collapsed="false">
      <c r="A871" s="10" t="s">
        <v>1769</v>
      </c>
      <c r="B871" s="10" t="s">
        <v>1770</v>
      </c>
      <c r="C871" s="10" t="s">
        <v>1177</v>
      </c>
      <c r="D871" s="10" t="s">
        <v>1178</v>
      </c>
      <c r="E871" s="11" t="n">
        <v>165</v>
      </c>
      <c r="F871" s="11" t="n">
        <v>165</v>
      </c>
      <c r="G871" s="12" t="n">
        <v>0</v>
      </c>
      <c r="H871" s="13" t="n">
        <v>4.5</v>
      </c>
      <c r="I871" s="11" t="n">
        <v>1674</v>
      </c>
      <c r="J871" s="11" t="n">
        <f aca="false">E871-F871</f>
        <v>0</v>
      </c>
      <c r="K871" s="10" t="str">
        <f aca="false">IF(G871&lt;0.2,"0-19%",IF(G871&lt;0.4,"20-39%",IF(G871&lt;0.6,"40-59%",IF(G871&lt;0.8,"60-79%","80%+"))))</f>
        <v>0-19%</v>
      </c>
      <c r="L871" s="10" t="str">
        <f aca="false">IF(H871="","No rating",IF(H871&lt;3.5,"Below 3.5",IF(H871&lt;4,"3.5-3.9",IF(H871&lt;4.5,"4.0-4.4","4.5+"))))</f>
        <v>4.5+</v>
      </c>
    </row>
    <row r="872" customFormat="false" ht="15" hidden="false" customHeight="false" outlineLevel="0" collapsed="false">
      <c r="A872" s="10" t="s">
        <v>1771</v>
      </c>
      <c r="B872" s="10" t="s">
        <v>1772</v>
      </c>
      <c r="C872" s="10" t="s">
        <v>21</v>
      </c>
      <c r="D872" s="10" t="s">
        <v>22</v>
      </c>
      <c r="E872" s="11" t="n">
        <v>3499</v>
      </c>
      <c r="F872" s="11" t="n">
        <v>1699</v>
      </c>
      <c r="G872" s="12" t="n">
        <v>0.51</v>
      </c>
      <c r="H872" s="13" t="n">
        <v>3.6</v>
      </c>
      <c r="I872" s="11" t="n">
        <v>7689</v>
      </c>
      <c r="J872" s="11" t="n">
        <f aca="false">E872-F872</f>
        <v>1800</v>
      </c>
      <c r="K872" s="10" t="str">
        <f aca="false">IF(G872&lt;0.2,"0-19%",IF(G872&lt;0.4,"20-39%",IF(G872&lt;0.6,"40-59%",IF(G872&lt;0.8,"60-79%","80%+"))))</f>
        <v>40-59%</v>
      </c>
      <c r="L872" s="10" t="str">
        <f aca="false">IF(H872="","No rating",IF(H872&lt;3.5,"Below 3.5",IF(H872&lt;4,"3.5-3.9",IF(H872&lt;4.5,"4.0-4.4","4.5+"))))</f>
        <v>3.5-3.9</v>
      </c>
    </row>
    <row r="873" customFormat="false" ht="15" hidden="false" customHeight="false" outlineLevel="0" collapsed="false">
      <c r="A873" s="10" t="s">
        <v>1773</v>
      </c>
      <c r="B873" s="10" t="s">
        <v>1774</v>
      </c>
      <c r="C873" s="10" t="s">
        <v>48</v>
      </c>
      <c r="D873" s="10" t="s">
        <v>1193</v>
      </c>
      <c r="E873" s="11" t="n">
        <v>7500</v>
      </c>
      <c r="F873" s="11" t="n">
        <v>2299</v>
      </c>
      <c r="G873" s="12" t="n">
        <v>0.69</v>
      </c>
      <c r="H873" s="13" t="n">
        <v>4.1</v>
      </c>
      <c r="I873" s="11" t="n">
        <v>5554</v>
      </c>
      <c r="J873" s="11" t="n">
        <f aca="false">E873-F873</f>
        <v>5201</v>
      </c>
      <c r="K873" s="10" t="str">
        <f aca="false">IF(G873&lt;0.2,"0-19%",IF(G873&lt;0.4,"20-39%",IF(G873&lt;0.6,"40-59%",IF(G873&lt;0.8,"60-79%","80%+"))))</f>
        <v>60-79%</v>
      </c>
      <c r="L873" s="10" t="str">
        <f aca="false">IF(H873="","No rating",IF(H873&lt;3.5,"Below 3.5",IF(H873&lt;4,"3.5-3.9",IF(H873&lt;4.5,"4.0-4.4","4.5+"))))</f>
        <v>4.0-4.4</v>
      </c>
    </row>
    <row r="874" customFormat="false" ht="15" hidden="false" customHeight="false" outlineLevel="0" collapsed="false">
      <c r="A874" s="10" t="s">
        <v>1775</v>
      </c>
      <c r="B874" s="10" t="s">
        <v>1776</v>
      </c>
      <c r="C874" s="10" t="s">
        <v>21</v>
      </c>
      <c r="D874" s="10" t="s">
        <v>22</v>
      </c>
      <c r="E874" s="11" t="n">
        <v>39</v>
      </c>
      <c r="F874" s="11" t="n">
        <v>39</v>
      </c>
      <c r="G874" s="12" t="n">
        <v>0</v>
      </c>
      <c r="H874" s="13" t="n">
        <v>3.8</v>
      </c>
      <c r="I874" s="11" t="n">
        <v>3344</v>
      </c>
      <c r="J874" s="11" t="n">
        <f aca="false">E874-F874</f>
        <v>0</v>
      </c>
      <c r="K874" s="10" t="str">
        <f aca="false">IF(G874&lt;0.2,"0-19%",IF(G874&lt;0.4,"20-39%",IF(G874&lt;0.6,"40-59%",IF(G874&lt;0.8,"60-79%","80%+"))))</f>
        <v>0-19%</v>
      </c>
      <c r="L874" s="10" t="str">
        <f aca="false">IF(H874="","No rating",IF(H874&lt;3.5,"Below 3.5",IF(H874&lt;4,"3.5-3.9",IF(H874&lt;4.5,"4.0-4.4","4.5+"))))</f>
        <v>3.5-3.9</v>
      </c>
    </row>
    <row r="875" customFormat="false" ht="15" hidden="false" customHeight="false" outlineLevel="0" collapsed="false">
      <c r="A875" s="10" t="s">
        <v>1777</v>
      </c>
      <c r="B875" s="10" t="s">
        <v>1778</v>
      </c>
      <c r="C875" s="10" t="s">
        <v>21</v>
      </c>
      <c r="D875" s="10" t="s">
        <v>1779</v>
      </c>
      <c r="E875" s="11" t="n">
        <v>37999</v>
      </c>
      <c r="F875" s="11" t="n">
        <v>26999</v>
      </c>
      <c r="G875" s="12" t="n">
        <v>0.29</v>
      </c>
      <c r="H875" s="13" t="n">
        <v>4.6</v>
      </c>
      <c r="I875" s="11" t="n">
        <v>2886</v>
      </c>
      <c r="J875" s="11" t="n">
        <f aca="false">E875-F875</f>
        <v>11000</v>
      </c>
      <c r="K875" s="10" t="str">
        <f aca="false">IF(G875&lt;0.2,"0-19%",IF(G875&lt;0.4,"20-39%",IF(G875&lt;0.6,"40-59%",IF(G875&lt;0.8,"60-79%","80%+"))))</f>
        <v>20-39%</v>
      </c>
      <c r="L875" s="10" t="str">
        <f aca="false">IF(H875="","No rating",IF(H875&lt;3.5,"Below 3.5",IF(H875&lt;4,"3.5-3.9",IF(H875&lt;4.5,"4.0-4.4","4.5+"))))</f>
        <v>4.5+</v>
      </c>
    </row>
    <row r="876" customFormat="false" ht="15" hidden="false" customHeight="false" outlineLevel="0" collapsed="false">
      <c r="A876" s="10" t="s">
        <v>1780</v>
      </c>
      <c r="B876" s="10" t="s">
        <v>1781</v>
      </c>
      <c r="C876" s="10" t="s">
        <v>48</v>
      </c>
      <c r="D876" s="10" t="s">
        <v>722</v>
      </c>
      <c r="E876" s="11" t="n">
        <v>1990</v>
      </c>
      <c r="F876" s="11" t="n">
        <v>1490</v>
      </c>
      <c r="G876" s="12" t="n">
        <v>0.25</v>
      </c>
      <c r="H876" s="13" t="n">
        <v>4.1</v>
      </c>
      <c r="I876" s="11" t="n">
        <v>98250</v>
      </c>
      <c r="J876" s="11" t="n">
        <f aca="false">E876-F876</f>
        <v>500</v>
      </c>
      <c r="K876" s="10" t="str">
        <f aca="false">IF(G876&lt;0.2,"0-19%",IF(G876&lt;0.4,"20-39%",IF(G876&lt;0.6,"40-59%",IF(G876&lt;0.8,"60-79%","80%+"))))</f>
        <v>20-39%</v>
      </c>
      <c r="L876" s="10" t="str">
        <f aca="false">IF(H876="","No rating",IF(H876&lt;3.5,"Below 3.5",IF(H876&lt;4,"3.5-3.9",IF(H876&lt;4.5,"4.0-4.4","4.5+"))))</f>
        <v>4.0-4.4</v>
      </c>
    </row>
    <row r="877" customFormat="false" ht="15" hidden="false" customHeight="false" outlineLevel="0" collapsed="false">
      <c r="A877" s="10" t="s">
        <v>1782</v>
      </c>
      <c r="B877" s="10" t="s">
        <v>1783</v>
      </c>
      <c r="C877" s="10" t="s">
        <v>21</v>
      </c>
      <c r="D877" s="10" t="s">
        <v>22</v>
      </c>
      <c r="E877" s="11" t="n">
        <v>1949</v>
      </c>
      <c r="F877" s="11" t="n">
        <v>398</v>
      </c>
      <c r="G877" s="12" t="n">
        <v>0.8</v>
      </c>
      <c r="H877" s="13" t="n">
        <v>4</v>
      </c>
      <c r="I877" s="11" t="n">
        <v>75</v>
      </c>
      <c r="J877" s="11" t="n">
        <f aca="false">E877-F877</f>
        <v>1551</v>
      </c>
      <c r="K877" s="10" t="str">
        <f aca="false">IF(G877&lt;0.2,"0-19%",IF(G877&lt;0.4,"20-39%",IF(G877&lt;0.6,"40-59%",IF(G877&lt;0.8,"60-79%","80%+"))))</f>
        <v>80%+</v>
      </c>
      <c r="L877" s="10" t="str">
        <f aca="false">IF(H877="","No rating",IF(H877&lt;3.5,"Below 3.5",IF(H877&lt;4,"3.5-3.9",IF(H877&lt;4.5,"4.0-4.4","4.5+"))))</f>
        <v>4.0-4.4</v>
      </c>
    </row>
    <row r="878" customFormat="false" ht="15" hidden="false" customHeight="false" outlineLevel="0" collapsed="false">
      <c r="A878" s="10" t="s">
        <v>1784</v>
      </c>
      <c r="B878" s="10" t="s">
        <v>1785</v>
      </c>
      <c r="C878" s="10" t="s">
        <v>21</v>
      </c>
      <c r="D878" s="10" t="s">
        <v>22</v>
      </c>
      <c r="E878" s="11" t="n">
        <v>1547</v>
      </c>
      <c r="F878" s="11" t="n">
        <v>770</v>
      </c>
      <c r="G878" s="12" t="n">
        <v>0.5</v>
      </c>
      <c r="H878" s="13" t="n">
        <v>4.3</v>
      </c>
      <c r="I878" s="11" t="n">
        <v>2585</v>
      </c>
      <c r="J878" s="11" t="n">
        <f aca="false">E878-F878</f>
        <v>777</v>
      </c>
      <c r="K878" s="10" t="str">
        <f aca="false">IF(G878&lt;0.2,"0-19%",IF(G878&lt;0.4,"20-39%",IF(G878&lt;0.6,"40-59%",IF(G878&lt;0.8,"60-79%","80%+"))))</f>
        <v>40-59%</v>
      </c>
      <c r="L878" s="10" t="str">
        <f aca="false">IF(H878="","No rating",IF(H878&lt;3.5,"Below 3.5",IF(H878&lt;4,"3.5-3.9",IF(H878&lt;4.5,"4.0-4.4","4.5+"))))</f>
        <v>4.0-4.4</v>
      </c>
    </row>
    <row r="879" customFormat="false" ht="15" hidden="false" customHeight="false" outlineLevel="0" collapsed="false">
      <c r="A879" s="10" t="s">
        <v>1786</v>
      </c>
      <c r="B879" s="10" t="s">
        <v>1787</v>
      </c>
      <c r="C879" s="10" t="s">
        <v>48</v>
      </c>
      <c r="D879" s="10" t="s">
        <v>700</v>
      </c>
      <c r="E879" s="11" t="n">
        <v>1299</v>
      </c>
      <c r="F879" s="11" t="n">
        <v>279</v>
      </c>
      <c r="G879" s="12" t="n">
        <v>0.79</v>
      </c>
      <c r="H879" s="13" t="n">
        <v>4</v>
      </c>
      <c r="I879" s="11" t="n">
        <v>5072</v>
      </c>
      <c r="J879" s="11" t="n">
        <f aca="false">E879-F879</f>
        <v>1020</v>
      </c>
      <c r="K879" s="10" t="str">
        <f aca="false">IF(G879&lt;0.2,"0-19%",IF(G879&lt;0.4,"20-39%",IF(G879&lt;0.6,"40-59%",IF(G879&lt;0.8,"60-79%","80%+"))))</f>
        <v>60-79%</v>
      </c>
      <c r="L879" s="10" t="str">
        <f aca="false">IF(H879="","No rating",IF(H879&lt;3.5,"Below 3.5",IF(H879&lt;4,"3.5-3.9",IF(H879&lt;4.5,"4.0-4.4","4.5+"))))</f>
        <v>4.0-4.4</v>
      </c>
    </row>
    <row r="880" customFormat="false" ht="15" hidden="false" customHeight="false" outlineLevel="0" collapsed="false">
      <c r="A880" s="10" t="s">
        <v>1788</v>
      </c>
      <c r="B880" s="10" t="s">
        <v>1789</v>
      </c>
      <c r="C880" s="10" t="s">
        <v>1170</v>
      </c>
      <c r="D880" s="10" t="s">
        <v>1488</v>
      </c>
      <c r="E880" s="11" t="n">
        <v>599</v>
      </c>
      <c r="F880" s="11" t="n">
        <v>249</v>
      </c>
      <c r="G880" s="12" t="n">
        <v>0.58</v>
      </c>
      <c r="H880" s="13" t="n">
        <v>4.5</v>
      </c>
      <c r="I880" s="11" t="n">
        <v>5985</v>
      </c>
      <c r="J880" s="11" t="n">
        <f aca="false">E880-F880</f>
        <v>350</v>
      </c>
      <c r="K880" s="10" t="str">
        <f aca="false">IF(G880&lt;0.2,"0-19%",IF(G880&lt;0.4,"20-39%",IF(G880&lt;0.6,"40-59%",IF(G880&lt;0.8,"60-79%","80%+"))))</f>
        <v>40-59%</v>
      </c>
      <c r="L880" s="10" t="str">
        <f aca="false">IF(H880="","No rating",IF(H880&lt;3.5,"Below 3.5",IF(H880&lt;4,"3.5-3.9",IF(H880&lt;4.5,"4.0-4.4","4.5+"))))</f>
        <v>4.5+</v>
      </c>
    </row>
    <row r="881" customFormat="false" ht="15" hidden="false" customHeight="false" outlineLevel="0" collapsed="false">
      <c r="A881" s="10" t="s">
        <v>1790</v>
      </c>
      <c r="B881" s="10" t="s">
        <v>1791</v>
      </c>
      <c r="C881" s="10" t="s">
        <v>1181</v>
      </c>
      <c r="D881" s="10" t="s">
        <v>1182</v>
      </c>
      <c r="E881" s="11" t="n">
        <v>230</v>
      </c>
      <c r="F881" s="11" t="n">
        <v>230</v>
      </c>
      <c r="G881" s="12" t="n">
        <v>0</v>
      </c>
      <c r="H881" s="13" t="n">
        <v>4.5</v>
      </c>
      <c r="I881" s="11" t="n">
        <v>9427</v>
      </c>
      <c r="J881" s="11" t="n">
        <f aca="false">E881-F881</f>
        <v>0</v>
      </c>
      <c r="K881" s="10" t="str">
        <f aca="false">IF(G881&lt;0.2,"0-19%",IF(G881&lt;0.4,"20-39%",IF(G881&lt;0.6,"40-59%",IF(G881&lt;0.8,"60-79%","80%+"))))</f>
        <v>0-19%</v>
      </c>
      <c r="L881" s="10" t="str">
        <f aca="false">IF(H881="","No rating",IF(H881&lt;3.5,"Below 3.5",IF(H881&lt;4,"3.5-3.9",IF(H881&lt;4.5,"4.0-4.4","4.5+"))))</f>
        <v>4.5+</v>
      </c>
    </row>
    <row r="882" customFormat="false" ht="15" hidden="false" customHeight="false" outlineLevel="0" collapsed="false">
      <c r="A882" s="10" t="s">
        <v>1792</v>
      </c>
      <c r="B882" s="10" t="s">
        <v>1793</v>
      </c>
      <c r="C882" s="10" t="s">
        <v>21</v>
      </c>
      <c r="D882" s="10" t="s">
        <v>22</v>
      </c>
      <c r="E882" s="11" t="n">
        <v>700</v>
      </c>
      <c r="F882" s="11" t="n">
        <v>599</v>
      </c>
      <c r="G882" s="12" t="n">
        <v>0.14</v>
      </c>
      <c r="H882" s="13" t="n">
        <v>4.3</v>
      </c>
      <c r="I882" s="11" t="n">
        <v>2301</v>
      </c>
      <c r="J882" s="11" t="n">
        <f aca="false">E882-F882</f>
        <v>101</v>
      </c>
      <c r="K882" s="10" t="str">
        <f aca="false">IF(G882&lt;0.2,"0-19%",IF(G882&lt;0.4,"20-39%",IF(G882&lt;0.6,"40-59%",IF(G882&lt;0.8,"60-79%","80%+"))))</f>
        <v>0-19%</v>
      </c>
      <c r="L882" s="10" t="str">
        <f aca="false">IF(H882="","No rating",IF(H882&lt;3.5,"Below 3.5",IF(H882&lt;4,"3.5-3.9",IF(H882&lt;4.5,"4.0-4.4","4.5+"))))</f>
        <v>4.0-4.4</v>
      </c>
    </row>
    <row r="883" customFormat="false" ht="15" hidden="false" customHeight="false" outlineLevel="0" collapsed="false">
      <c r="A883" s="10" t="s">
        <v>1794</v>
      </c>
      <c r="B883" s="10" t="s">
        <v>1795</v>
      </c>
      <c r="C883" s="10" t="s">
        <v>21</v>
      </c>
      <c r="D883" s="10" t="s">
        <v>1217</v>
      </c>
      <c r="E883" s="11" t="n">
        <v>1150</v>
      </c>
      <c r="F883" s="11" t="n">
        <v>598</v>
      </c>
      <c r="G883" s="12" t="n">
        <v>0.48</v>
      </c>
      <c r="H883" s="13" t="n">
        <v>4.1</v>
      </c>
      <c r="I883" s="11" t="n">
        <v>2535</v>
      </c>
      <c r="J883" s="11" t="n">
        <f aca="false">E883-F883</f>
        <v>552</v>
      </c>
      <c r="K883" s="10" t="str">
        <f aca="false">IF(G883&lt;0.2,"0-19%",IF(G883&lt;0.4,"20-39%",IF(G883&lt;0.6,"40-59%",IF(G883&lt;0.8,"60-79%","80%+"))))</f>
        <v>40-59%</v>
      </c>
      <c r="L883" s="10" t="str">
        <f aca="false">IF(H883="","No rating",IF(H883&lt;3.5,"Below 3.5",IF(H883&lt;4,"3.5-3.9",IF(H883&lt;4.5,"4.0-4.4","4.5+"))))</f>
        <v>4.0-4.4</v>
      </c>
    </row>
    <row r="884" customFormat="false" ht="15" hidden="false" customHeight="false" outlineLevel="0" collapsed="false">
      <c r="A884" s="10" t="s">
        <v>1796</v>
      </c>
      <c r="B884" s="10" t="s">
        <v>1797</v>
      </c>
      <c r="C884" s="10" t="s">
        <v>21</v>
      </c>
      <c r="D884" s="10" t="s">
        <v>22</v>
      </c>
      <c r="E884" s="11" t="n">
        <v>1499</v>
      </c>
      <c r="F884" s="11" t="n">
        <v>399</v>
      </c>
      <c r="G884" s="12" t="n">
        <v>0.73</v>
      </c>
      <c r="H884" s="13" t="n">
        <v>4</v>
      </c>
      <c r="I884" s="11" t="n">
        <v>691</v>
      </c>
      <c r="J884" s="11" t="n">
        <f aca="false">E884-F884</f>
        <v>1100</v>
      </c>
      <c r="K884" s="10" t="str">
        <f aca="false">IF(G884&lt;0.2,"0-19%",IF(G884&lt;0.4,"20-39%",IF(G884&lt;0.6,"40-59%",IF(G884&lt;0.8,"60-79%","80%+"))))</f>
        <v>60-79%</v>
      </c>
      <c r="L884" s="10" t="str">
        <f aca="false">IF(H884="","No rating",IF(H884&lt;3.5,"Below 3.5",IF(H884&lt;4,"3.5-3.9",IF(H884&lt;4.5,"4.0-4.4","4.5+"))))</f>
        <v>4.0-4.4</v>
      </c>
    </row>
    <row r="885" customFormat="false" ht="15" hidden="false" customHeight="false" outlineLevel="0" collapsed="false">
      <c r="A885" s="10" t="s">
        <v>1798</v>
      </c>
      <c r="B885" s="10" t="s">
        <v>1799</v>
      </c>
      <c r="C885" s="10" t="s">
        <v>21</v>
      </c>
      <c r="D885" s="10" t="s">
        <v>22</v>
      </c>
      <c r="E885" s="11" t="n">
        <v>1299</v>
      </c>
      <c r="F885" s="11" t="n">
        <v>499</v>
      </c>
      <c r="G885" s="12" t="n">
        <v>0.62</v>
      </c>
      <c r="H885" s="13" t="n">
        <v>4.1</v>
      </c>
      <c r="I885" s="11" t="n">
        <v>2740</v>
      </c>
      <c r="J885" s="11" t="n">
        <f aca="false">E885-F885</f>
        <v>800</v>
      </c>
      <c r="K885" s="10" t="str">
        <f aca="false">IF(G885&lt;0.2,"0-19%",IF(G885&lt;0.4,"20-39%",IF(G885&lt;0.6,"40-59%",IF(G885&lt;0.8,"60-79%","80%+"))))</f>
        <v>60-79%</v>
      </c>
      <c r="L885" s="10" t="str">
        <f aca="false">IF(H885="","No rating",IF(H885&lt;3.5,"Below 3.5",IF(H885&lt;4,"3.5-3.9",IF(H885&lt;4.5,"4.0-4.4","4.5+"))))</f>
        <v>4.0-4.4</v>
      </c>
    </row>
    <row r="886" customFormat="false" ht="15" hidden="false" customHeight="false" outlineLevel="0" collapsed="false">
      <c r="A886" s="10" t="s">
        <v>1800</v>
      </c>
      <c r="B886" s="10" t="s">
        <v>1801</v>
      </c>
      <c r="C886" s="10" t="s">
        <v>21</v>
      </c>
      <c r="D886" s="10" t="s">
        <v>22</v>
      </c>
      <c r="E886" s="11" t="n">
        <v>1090</v>
      </c>
      <c r="F886" s="11" t="n">
        <v>579</v>
      </c>
      <c r="G886" s="12" t="n">
        <v>0.47</v>
      </c>
      <c r="H886" s="13" t="n">
        <v>4.4</v>
      </c>
      <c r="I886" s="11" t="n">
        <v>3482</v>
      </c>
      <c r="J886" s="11" t="n">
        <f aca="false">E886-F886</f>
        <v>511</v>
      </c>
      <c r="K886" s="10" t="str">
        <f aca="false">IF(G886&lt;0.2,"0-19%",IF(G886&lt;0.4,"20-39%",IF(G886&lt;0.6,"40-59%",IF(G886&lt;0.8,"60-79%","80%+"))))</f>
        <v>40-59%</v>
      </c>
      <c r="L886" s="10" t="str">
        <f aca="false">IF(H886="","No rating",IF(H886&lt;3.5,"Below 3.5",IF(H886&lt;4,"3.5-3.9",IF(H886&lt;4.5,"4.0-4.4","4.5+"))))</f>
        <v>4.0-4.4</v>
      </c>
    </row>
    <row r="887" customFormat="false" ht="15" hidden="false" customHeight="false" outlineLevel="0" collapsed="false">
      <c r="A887" s="10" t="s">
        <v>1802</v>
      </c>
      <c r="B887" s="10" t="s">
        <v>1803</v>
      </c>
      <c r="C887" s="10" t="s">
        <v>1177</v>
      </c>
      <c r="D887" s="10" t="s">
        <v>1178</v>
      </c>
      <c r="E887" s="11" t="n">
        <v>100</v>
      </c>
      <c r="F887" s="11" t="n">
        <v>90</v>
      </c>
      <c r="G887" s="12" t="n">
        <v>0.1</v>
      </c>
      <c r="H887" s="13" t="n">
        <v>4.1</v>
      </c>
      <c r="I887" s="11" t="n">
        <v>6199</v>
      </c>
      <c r="J887" s="11" t="n">
        <f aca="false">E887-F887</f>
        <v>10</v>
      </c>
      <c r="K887" s="10" t="str">
        <f aca="false">IF(G887&lt;0.2,"0-19%",IF(G887&lt;0.4,"20-39%",IF(G887&lt;0.6,"40-59%",IF(G887&lt;0.8,"60-79%","80%+"))))</f>
        <v>0-19%</v>
      </c>
      <c r="L887" s="10" t="str">
        <f aca="false">IF(H887="","No rating",IF(H887&lt;3.5,"Below 3.5",IF(H887&lt;4,"3.5-3.9",IF(H887&lt;4.5,"4.0-4.4","4.5+"))))</f>
        <v>4.0-4.4</v>
      </c>
    </row>
    <row r="888" customFormat="false" ht="15" hidden="false" customHeight="false" outlineLevel="0" collapsed="false">
      <c r="A888" s="10" t="s">
        <v>1804</v>
      </c>
      <c r="B888" s="10" t="s">
        <v>1805</v>
      </c>
      <c r="C888" s="10" t="s">
        <v>21</v>
      </c>
      <c r="D888" s="10" t="s">
        <v>22</v>
      </c>
      <c r="E888" s="11" t="n">
        <v>1999</v>
      </c>
      <c r="F888" s="11" t="n">
        <v>899</v>
      </c>
      <c r="G888" s="12" t="n">
        <v>0.55</v>
      </c>
      <c r="H888" s="13" t="n">
        <v>4.4</v>
      </c>
      <c r="I888" s="11" t="n">
        <v>1667</v>
      </c>
      <c r="J888" s="11" t="n">
        <f aca="false">E888-F888</f>
        <v>1100</v>
      </c>
      <c r="K888" s="10" t="str">
        <f aca="false">IF(G888&lt;0.2,"0-19%",IF(G888&lt;0.4,"20-39%",IF(G888&lt;0.6,"40-59%",IF(G888&lt;0.8,"60-79%","80%+"))))</f>
        <v>40-59%</v>
      </c>
      <c r="L888" s="10" t="str">
        <f aca="false">IF(H888="","No rating",IF(H888&lt;3.5,"Below 3.5",IF(H888&lt;4,"3.5-3.9",IF(H888&lt;4.5,"4.0-4.4","4.5+"))))</f>
        <v>4.0-4.4</v>
      </c>
    </row>
    <row r="889" customFormat="false" ht="15" hidden="false" customHeight="false" outlineLevel="0" collapsed="false">
      <c r="A889" s="10" t="s">
        <v>1806</v>
      </c>
      <c r="B889" s="10" t="s">
        <v>1807</v>
      </c>
      <c r="C889" s="10" t="s">
        <v>21</v>
      </c>
      <c r="D889" s="10" t="s">
        <v>22</v>
      </c>
      <c r="E889" s="11" t="n">
        <v>1800</v>
      </c>
      <c r="F889" s="11" t="n">
        <v>1149</v>
      </c>
      <c r="G889" s="12" t="n">
        <v>0.36</v>
      </c>
      <c r="H889" s="13" t="n">
        <v>4.3</v>
      </c>
      <c r="I889" s="11" t="n">
        <v>4723</v>
      </c>
      <c r="J889" s="11" t="n">
        <f aca="false">E889-F889</f>
        <v>651</v>
      </c>
      <c r="K889" s="10" t="str">
        <f aca="false">IF(G889&lt;0.2,"0-19%",IF(G889&lt;0.4,"20-39%",IF(G889&lt;0.6,"40-59%",IF(G889&lt;0.8,"60-79%","80%+"))))</f>
        <v>20-39%</v>
      </c>
      <c r="L889" s="10" t="str">
        <f aca="false">IF(H889="","No rating",IF(H889&lt;3.5,"Below 3.5",IF(H889&lt;4,"3.5-3.9",IF(H889&lt;4.5,"4.0-4.4","4.5+"))))</f>
        <v>4.0-4.4</v>
      </c>
    </row>
    <row r="890" customFormat="false" ht="15" hidden="false" customHeight="false" outlineLevel="0" collapsed="false">
      <c r="A890" s="10" t="s">
        <v>1808</v>
      </c>
      <c r="B890" s="10" t="s">
        <v>1809</v>
      </c>
      <c r="C890" s="10" t="s">
        <v>21</v>
      </c>
      <c r="D890" s="10" t="s">
        <v>22</v>
      </c>
      <c r="E890" s="11" t="n">
        <v>499</v>
      </c>
      <c r="F890" s="11" t="n">
        <v>249</v>
      </c>
      <c r="G890" s="12" t="n">
        <v>0.5</v>
      </c>
      <c r="H890" s="13" t="n">
        <v>4.2</v>
      </c>
      <c r="I890" s="11" t="n">
        <v>22860</v>
      </c>
      <c r="J890" s="11" t="n">
        <f aca="false">E890-F890</f>
        <v>250</v>
      </c>
      <c r="K890" s="10" t="str">
        <f aca="false">IF(G890&lt;0.2,"0-19%",IF(G890&lt;0.4,"20-39%",IF(G890&lt;0.6,"40-59%",IF(G890&lt;0.8,"60-79%","80%+"))))</f>
        <v>40-59%</v>
      </c>
      <c r="L890" s="10" t="str">
        <f aca="false">IF(H890="","No rating",IF(H890&lt;3.5,"Below 3.5",IF(H890&lt;4,"3.5-3.9",IF(H890&lt;4.5,"4.0-4.4","4.5+"))))</f>
        <v>4.0-4.4</v>
      </c>
    </row>
    <row r="891" customFormat="false" ht="15" hidden="false" customHeight="false" outlineLevel="0" collapsed="false">
      <c r="A891" s="10" t="s">
        <v>1810</v>
      </c>
      <c r="B891" s="10" t="s">
        <v>1811</v>
      </c>
      <c r="C891" s="10" t="s">
        <v>21</v>
      </c>
      <c r="D891" s="10" t="s">
        <v>22</v>
      </c>
      <c r="E891" s="11" t="n">
        <v>39</v>
      </c>
      <c r="F891" s="11" t="n">
        <v>39</v>
      </c>
      <c r="G891" s="12" t="n">
        <v>0</v>
      </c>
      <c r="H891" s="13" t="n">
        <v>3.6</v>
      </c>
      <c r="I891" s="11" t="n">
        <v>13572</v>
      </c>
      <c r="J891" s="11" t="n">
        <f aca="false">E891-F891</f>
        <v>0</v>
      </c>
      <c r="K891" s="10" t="str">
        <f aca="false">IF(G891&lt;0.2,"0-19%",IF(G891&lt;0.4,"20-39%",IF(G891&lt;0.6,"40-59%",IF(G891&lt;0.8,"60-79%","80%+"))))</f>
        <v>0-19%</v>
      </c>
      <c r="L891" s="10" t="str">
        <f aca="false">IF(H891="","No rating",IF(H891&lt;3.5,"Below 3.5",IF(H891&lt;4,"3.5-3.9",IF(H891&lt;4.5,"4.0-4.4","4.5+"))))</f>
        <v>3.5-3.9</v>
      </c>
    </row>
    <row r="892" customFormat="false" ht="15" hidden="false" customHeight="false" outlineLevel="0" collapsed="false">
      <c r="A892" s="10" t="s">
        <v>1812</v>
      </c>
      <c r="B892" s="10" t="s">
        <v>1813</v>
      </c>
      <c r="C892" s="10" t="s">
        <v>21</v>
      </c>
      <c r="D892" s="10" t="s">
        <v>39</v>
      </c>
      <c r="E892" s="11" t="n">
        <v>3599</v>
      </c>
      <c r="F892" s="11" t="n">
        <v>1599</v>
      </c>
      <c r="G892" s="12" t="n">
        <v>0.56</v>
      </c>
      <c r="H892" s="13" t="n">
        <v>4.2</v>
      </c>
      <c r="I892" s="11" t="n">
        <v>16182</v>
      </c>
      <c r="J892" s="11" t="n">
        <f aca="false">E892-F892</f>
        <v>2000</v>
      </c>
      <c r="K892" s="10" t="str">
        <f aca="false">IF(G892&lt;0.2,"0-19%",IF(G892&lt;0.4,"20-39%",IF(G892&lt;0.6,"40-59%",IF(G892&lt;0.8,"60-79%","80%+"))))</f>
        <v>40-59%</v>
      </c>
      <c r="L892" s="10" t="str">
        <f aca="false">IF(H892="","No rating",IF(H892&lt;3.5,"Below 3.5",IF(H892&lt;4,"3.5-3.9",IF(H892&lt;4.5,"4.0-4.4","4.5+"))))</f>
        <v>4.0-4.4</v>
      </c>
    </row>
    <row r="893" customFormat="false" ht="15" hidden="false" customHeight="false" outlineLevel="0" collapsed="false">
      <c r="A893" s="10" t="s">
        <v>1814</v>
      </c>
      <c r="B893" s="10" t="s">
        <v>1815</v>
      </c>
      <c r="C893" s="10" t="s">
        <v>48</v>
      </c>
      <c r="D893" s="10" t="s">
        <v>290</v>
      </c>
      <c r="E893" s="11" t="n">
        <v>3990</v>
      </c>
      <c r="F893" s="11" t="n">
        <v>1199</v>
      </c>
      <c r="G893" s="12" t="n">
        <v>0.7</v>
      </c>
      <c r="H893" s="13" t="n">
        <v>4.2</v>
      </c>
      <c r="I893" s="11" t="n">
        <v>2908</v>
      </c>
      <c r="J893" s="11" t="n">
        <f aca="false">E893-F893</f>
        <v>2791</v>
      </c>
      <c r="K893" s="10" t="str">
        <f aca="false">IF(G893&lt;0.2,"0-19%",IF(G893&lt;0.4,"20-39%",IF(G893&lt;0.6,"40-59%",IF(G893&lt;0.8,"60-79%","80%+"))))</f>
        <v>60-79%</v>
      </c>
      <c r="L893" s="10" t="str">
        <f aca="false">IF(H893="","No rating",IF(H893&lt;3.5,"Below 3.5",IF(H893&lt;4,"3.5-3.9",IF(H893&lt;4.5,"4.0-4.4","4.5+"))))</f>
        <v>4.0-4.4</v>
      </c>
    </row>
    <row r="894" customFormat="false" ht="15" hidden="false" customHeight="false" outlineLevel="0" collapsed="false">
      <c r="A894" s="10" t="s">
        <v>1816</v>
      </c>
      <c r="B894" s="10" t="s">
        <v>1817</v>
      </c>
      <c r="C894" s="10" t="s">
        <v>21</v>
      </c>
      <c r="D894" s="10" t="s">
        <v>22</v>
      </c>
      <c r="E894" s="11" t="n">
        <v>1499</v>
      </c>
      <c r="F894" s="11" t="n">
        <v>1099</v>
      </c>
      <c r="G894" s="12" t="n">
        <v>0.27</v>
      </c>
      <c r="H894" s="13" t="n">
        <v>4.2</v>
      </c>
      <c r="I894" s="11" t="n">
        <v>2375</v>
      </c>
      <c r="J894" s="11" t="n">
        <f aca="false">E894-F894</f>
        <v>400</v>
      </c>
      <c r="K894" s="10" t="str">
        <f aca="false">IF(G894&lt;0.2,"0-19%",IF(G894&lt;0.4,"20-39%",IF(G894&lt;0.6,"40-59%",IF(G894&lt;0.8,"60-79%","80%+"))))</f>
        <v>20-39%</v>
      </c>
      <c r="L894" s="10" t="str">
        <f aca="false">IF(H894="","No rating",IF(H894&lt;3.5,"Below 3.5",IF(H894&lt;4,"3.5-3.9",IF(H894&lt;4.5,"4.0-4.4","4.5+"))))</f>
        <v>4.0-4.4</v>
      </c>
    </row>
    <row r="895" customFormat="false" ht="15" hidden="false" customHeight="false" outlineLevel="0" collapsed="false">
      <c r="A895" s="10" t="s">
        <v>1818</v>
      </c>
      <c r="B895" s="10" t="s">
        <v>1819</v>
      </c>
      <c r="C895" s="10" t="s">
        <v>1177</v>
      </c>
      <c r="D895" s="10" t="s">
        <v>1178</v>
      </c>
      <c r="E895" s="11" t="n">
        <v>120</v>
      </c>
      <c r="F895" s="11" t="n">
        <v>120</v>
      </c>
      <c r="G895" s="12" t="n">
        <v>0</v>
      </c>
      <c r="H895" s="13" t="n">
        <v>4.5</v>
      </c>
      <c r="I895" s="11" t="n">
        <v>4951</v>
      </c>
      <c r="J895" s="11" t="n">
        <f aca="false">E895-F895</f>
        <v>0</v>
      </c>
      <c r="K895" s="10" t="str">
        <f aca="false">IF(G895&lt;0.2,"0-19%",IF(G895&lt;0.4,"20-39%",IF(G895&lt;0.6,"40-59%",IF(G895&lt;0.8,"60-79%","80%+"))))</f>
        <v>0-19%</v>
      </c>
      <c r="L895" s="10" t="str">
        <f aca="false">IF(H895="","No rating",IF(H895&lt;3.5,"Below 3.5",IF(H895&lt;4,"3.5-3.9",IF(H895&lt;4.5,"4.0-4.4","4.5+"))))</f>
        <v>4.5+</v>
      </c>
    </row>
    <row r="896" customFormat="false" ht="15" hidden="false" customHeight="false" outlineLevel="0" collapsed="false">
      <c r="A896" s="10" t="s">
        <v>1820</v>
      </c>
      <c r="B896" s="10" t="s">
        <v>1821</v>
      </c>
      <c r="C896" s="10" t="s">
        <v>21</v>
      </c>
      <c r="D896" s="10" t="s">
        <v>22</v>
      </c>
      <c r="E896" s="11" t="n">
        <v>3499</v>
      </c>
      <c r="F896" s="11" t="n">
        <v>1519</v>
      </c>
      <c r="G896" s="12" t="n">
        <v>0.57</v>
      </c>
      <c r="H896" s="13" t="n">
        <v>4.3</v>
      </c>
      <c r="I896" s="11" t="n">
        <v>408</v>
      </c>
      <c r="J896" s="11" t="n">
        <f aca="false">E896-F896</f>
        <v>1980</v>
      </c>
      <c r="K896" s="10" t="str">
        <f aca="false">IF(G896&lt;0.2,"0-19%",IF(G896&lt;0.4,"20-39%",IF(G896&lt;0.6,"40-59%",IF(G896&lt;0.8,"60-79%","80%+"))))</f>
        <v>40-59%</v>
      </c>
      <c r="L896" s="10" t="str">
        <f aca="false">IF(H896="","No rating",IF(H896&lt;3.5,"Below 3.5",IF(H896&lt;4,"3.5-3.9",IF(H896&lt;4.5,"4.0-4.4","4.5+"))))</f>
        <v>4.0-4.4</v>
      </c>
    </row>
    <row r="897" customFormat="false" ht="15" hidden="false" customHeight="false" outlineLevel="0" collapsed="false">
      <c r="A897" s="10" t="s">
        <v>1822</v>
      </c>
      <c r="B897" s="10" t="s">
        <v>1823</v>
      </c>
      <c r="C897" s="10" t="s">
        <v>1177</v>
      </c>
      <c r="D897" s="10" t="s">
        <v>1178</v>
      </c>
      <c r="E897" s="11" t="n">
        <v>420</v>
      </c>
      <c r="F897" s="11" t="n">
        <v>420</v>
      </c>
      <c r="G897" s="12" t="n">
        <v>0</v>
      </c>
      <c r="H897" s="13" t="n">
        <v>4.2</v>
      </c>
      <c r="I897" s="11" t="n">
        <v>1926</v>
      </c>
      <c r="J897" s="11" t="n">
        <f aca="false">E897-F897</f>
        <v>0</v>
      </c>
      <c r="K897" s="10" t="str">
        <f aca="false">IF(G897&lt;0.2,"0-19%",IF(G897&lt;0.4,"20-39%",IF(G897&lt;0.6,"40-59%",IF(G897&lt;0.8,"60-79%","80%+"))))</f>
        <v>0-19%</v>
      </c>
      <c r="L897" s="10" t="str">
        <f aca="false">IF(H897="","No rating",IF(H897&lt;3.5,"Below 3.5",IF(H897&lt;4,"3.5-3.9",IF(H897&lt;4.5,"4.0-4.4","4.5+"))))</f>
        <v>4.0-4.4</v>
      </c>
    </row>
    <row r="898" customFormat="false" ht="15" hidden="false" customHeight="false" outlineLevel="0" collapsed="false">
      <c r="A898" s="10" t="s">
        <v>1824</v>
      </c>
      <c r="B898" s="10" t="s">
        <v>1825</v>
      </c>
      <c r="C898" s="10" t="s">
        <v>1177</v>
      </c>
      <c r="D898" s="10" t="s">
        <v>1178</v>
      </c>
      <c r="E898" s="11" t="n">
        <v>225</v>
      </c>
      <c r="F898" s="11" t="n">
        <v>225</v>
      </c>
      <c r="G898" s="12" t="n">
        <v>0</v>
      </c>
      <c r="H898" s="13" t="n">
        <v>4.1</v>
      </c>
      <c r="I898" s="11" t="n">
        <v>4798</v>
      </c>
      <c r="J898" s="11" t="n">
        <f aca="false">E898-F898</f>
        <v>0</v>
      </c>
      <c r="K898" s="10" t="str">
        <f aca="false">IF(G898&lt;0.2,"0-19%",IF(G898&lt;0.4,"20-39%",IF(G898&lt;0.6,"40-59%",IF(G898&lt;0.8,"60-79%","80%+"))))</f>
        <v>0-19%</v>
      </c>
      <c r="L898" s="10" t="str">
        <f aca="false">IF(H898="","No rating",IF(H898&lt;3.5,"Below 3.5",IF(H898&lt;4,"3.5-3.9",IF(H898&lt;4.5,"4.0-4.4","4.5+"))))</f>
        <v>4.0-4.4</v>
      </c>
    </row>
    <row r="899" customFormat="false" ht="15" hidden="false" customHeight="false" outlineLevel="0" collapsed="false">
      <c r="A899" s="10" t="s">
        <v>1826</v>
      </c>
      <c r="B899" s="10" t="s">
        <v>1827</v>
      </c>
      <c r="C899" s="10" t="s">
        <v>21</v>
      </c>
      <c r="D899" s="10" t="s">
        <v>22</v>
      </c>
      <c r="E899" s="11" t="n">
        <v>799</v>
      </c>
      <c r="F899" s="11" t="n">
        <v>199</v>
      </c>
      <c r="G899" s="12" t="n">
        <v>0.75</v>
      </c>
      <c r="H899" s="13" t="n">
        <v>4.1</v>
      </c>
      <c r="I899" s="11" t="n">
        <v>7333</v>
      </c>
      <c r="J899" s="11" t="n">
        <f aca="false">E899-F899</f>
        <v>600</v>
      </c>
      <c r="K899" s="10" t="str">
        <f aca="false">IF(G899&lt;0.2,"0-19%",IF(G899&lt;0.4,"20-39%",IF(G899&lt;0.6,"40-59%",IF(G899&lt;0.8,"60-79%","80%+"))))</f>
        <v>60-79%</v>
      </c>
      <c r="L899" s="10" t="str">
        <f aca="false">IF(H899="","No rating",IF(H899&lt;3.5,"Below 3.5",IF(H899&lt;4,"3.5-3.9",IF(H899&lt;4.5,"4.0-4.4","4.5+"))))</f>
        <v>4.0-4.4</v>
      </c>
    </row>
    <row r="900" customFormat="false" ht="15" hidden="false" customHeight="false" outlineLevel="0" collapsed="false">
      <c r="A900" s="10" t="s">
        <v>1828</v>
      </c>
      <c r="B900" s="10" t="s">
        <v>1829</v>
      </c>
      <c r="C900" s="10" t="s">
        <v>21</v>
      </c>
      <c r="D900" s="10" t="s">
        <v>1217</v>
      </c>
      <c r="E900" s="11" t="n">
        <v>9625</v>
      </c>
      <c r="F900" s="11" t="n">
        <v>8349</v>
      </c>
      <c r="G900" s="12" t="n">
        <v>0.13</v>
      </c>
      <c r="H900" s="13" t="n">
        <v>3.8</v>
      </c>
      <c r="I900" s="11" t="n">
        <v>3652</v>
      </c>
      <c r="J900" s="11" t="n">
        <f aca="false">E900-F900</f>
        <v>1276</v>
      </c>
      <c r="K900" s="10" t="str">
        <f aca="false">IF(G900&lt;0.2,"0-19%",IF(G900&lt;0.4,"20-39%",IF(G900&lt;0.6,"40-59%",IF(G900&lt;0.8,"60-79%","80%+"))))</f>
        <v>0-19%</v>
      </c>
      <c r="L900" s="10" t="str">
        <f aca="false">IF(H900="","No rating",IF(H900&lt;3.5,"Below 3.5",IF(H900&lt;4,"3.5-3.9",IF(H900&lt;4.5,"4.0-4.4","4.5+"))))</f>
        <v>3.5-3.9</v>
      </c>
    </row>
    <row r="901" customFormat="false" ht="15" hidden="false" customHeight="false" outlineLevel="0" collapsed="false">
      <c r="A901" s="10" t="s">
        <v>1830</v>
      </c>
      <c r="B901" s="10" t="s">
        <v>1831</v>
      </c>
      <c r="C901" s="10" t="s">
        <v>21</v>
      </c>
      <c r="D901" s="10" t="s">
        <v>1433</v>
      </c>
      <c r="E901" s="11" t="n">
        <v>6100</v>
      </c>
      <c r="F901" s="11" t="n">
        <v>3307</v>
      </c>
      <c r="G901" s="12" t="n">
        <v>0.46</v>
      </c>
      <c r="H901" s="13" t="n">
        <v>4.3</v>
      </c>
      <c r="I901" s="11" t="n">
        <v>2515</v>
      </c>
      <c r="J901" s="11" t="n">
        <f aca="false">E901-F901</f>
        <v>2793</v>
      </c>
      <c r="K901" s="10" t="str">
        <f aca="false">IF(G901&lt;0.2,"0-19%",IF(G901&lt;0.4,"20-39%",IF(G901&lt;0.6,"40-59%",IF(G901&lt;0.8,"60-79%","80%+"))))</f>
        <v>40-59%</v>
      </c>
      <c r="L901" s="10" t="str">
        <f aca="false">IF(H901="","No rating",IF(H901&lt;3.5,"Below 3.5",IF(H901&lt;4,"3.5-3.9",IF(H901&lt;4.5,"4.0-4.4","4.5+"))))</f>
        <v>4.0-4.4</v>
      </c>
    </row>
    <row r="902" customFormat="false" ht="15" hidden="false" customHeight="false" outlineLevel="0" collapsed="false">
      <c r="A902" s="10" t="s">
        <v>1832</v>
      </c>
      <c r="B902" s="10" t="s">
        <v>1833</v>
      </c>
      <c r="C902" s="10" t="s">
        <v>21</v>
      </c>
      <c r="D902" s="10" t="s">
        <v>1135</v>
      </c>
      <c r="E902" s="11" t="n">
        <v>1300</v>
      </c>
      <c r="F902" s="11" t="n">
        <v>449</v>
      </c>
      <c r="G902" s="12" t="n">
        <v>0.65</v>
      </c>
      <c r="H902" s="13" t="n">
        <v>4.2</v>
      </c>
      <c r="I902" s="11" t="n">
        <v>4959</v>
      </c>
      <c r="J902" s="11" t="n">
        <f aca="false">E902-F902</f>
        <v>851</v>
      </c>
      <c r="K902" s="10" t="str">
        <f aca="false">IF(G902&lt;0.2,"0-19%",IF(G902&lt;0.4,"20-39%",IF(G902&lt;0.6,"40-59%",IF(G902&lt;0.8,"60-79%","80%+"))))</f>
        <v>60-79%</v>
      </c>
      <c r="L902" s="10" t="str">
        <f aca="false">IF(H902="","No rating",IF(H902&lt;3.5,"Below 3.5",IF(H902&lt;4,"3.5-3.9",IF(H902&lt;4.5,"4.0-4.4","4.5+"))))</f>
        <v>4.0-4.4</v>
      </c>
    </row>
    <row r="903" customFormat="false" ht="15" hidden="false" customHeight="false" outlineLevel="0" collapsed="false">
      <c r="A903" s="10" t="s">
        <v>1834</v>
      </c>
      <c r="B903" s="10" t="s">
        <v>1835</v>
      </c>
      <c r="C903" s="10" t="s">
        <v>48</v>
      </c>
      <c r="D903" s="10" t="s">
        <v>1174</v>
      </c>
      <c r="E903" s="11" t="n">
        <v>400</v>
      </c>
      <c r="F903" s="11" t="n">
        <v>380</v>
      </c>
      <c r="G903" s="12" t="n">
        <v>0.05</v>
      </c>
      <c r="H903" s="13" t="n">
        <v>4.4</v>
      </c>
      <c r="I903" s="11" t="n">
        <v>2111</v>
      </c>
      <c r="J903" s="11" t="n">
        <f aca="false">E903-F903</f>
        <v>20</v>
      </c>
      <c r="K903" s="10" t="str">
        <f aca="false">IF(G903&lt;0.2,"0-19%",IF(G903&lt;0.4,"20-39%",IF(G903&lt;0.6,"40-59%",IF(G903&lt;0.8,"60-79%","80%+"))))</f>
        <v>0-19%</v>
      </c>
      <c r="L903" s="10" t="str">
        <f aca="false">IF(H903="","No rating",IF(H903&lt;3.5,"Below 3.5",IF(H903&lt;4,"3.5-3.9",IF(H903&lt;4.5,"4.0-4.4","4.5+"))))</f>
        <v>4.0-4.4</v>
      </c>
    </row>
    <row r="904" customFormat="false" ht="15" hidden="false" customHeight="false" outlineLevel="0" collapsed="false">
      <c r="A904" s="10" t="s">
        <v>1836</v>
      </c>
      <c r="B904" s="10" t="s">
        <v>1837</v>
      </c>
      <c r="C904" s="10" t="s">
        <v>21</v>
      </c>
      <c r="D904" s="10" t="s">
        <v>22</v>
      </c>
      <c r="E904" s="11" t="n">
        <v>1399</v>
      </c>
      <c r="F904" s="11" t="n">
        <v>499</v>
      </c>
      <c r="G904" s="12" t="n">
        <v>0.64</v>
      </c>
      <c r="H904" s="13" t="n">
        <v>3.9</v>
      </c>
      <c r="I904" s="11" t="n">
        <v>1462</v>
      </c>
      <c r="J904" s="11" t="n">
        <f aca="false">E904-F904</f>
        <v>900</v>
      </c>
      <c r="K904" s="10" t="str">
        <f aca="false">IF(G904&lt;0.2,"0-19%",IF(G904&lt;0.4,"20-39%",IF(G904&lt;0.6,"40-59%",IF(G904&lt;0.8,"60-79%","80%+"))))</f>
        <v>60-79%</v>
      </c>
      <c r="L904" s="10" t="str">
        <f aca="false">IF(H904="","No rating",IF(H904&lt;3.5,"Below 3.5",IF(H904&lt;4,"3.5-3.9",IF(H904&lt;4.5,"4.0-4.4","4.5+"))))</f>
        <v>3.5-3.9</v>
      </c>
    </row>
    <row r="905" customFormat="false" ht="15" hidden="false" customHeight="false" outlineLevel="0" collapsed="false">
      <c r="A905" s="10" t="s">
        <v>1838</v>
      </c>
      <c r="B905" s="10" t="s">
        <v>1839</v>
      </c>
      <c r="C905" s="10" t="s">
        <v>21</v>
      </c>
      <c r="D905" s="10" t="s">
        <v>1840</v>
      </c>
      <c r="E905" s="11" t="n">
        <v>59890</v>
      </c>
      <c r="F905" s="11" t="n">
        <v>37247</v>
      </c>
      <c r="G905" s="12" t="n">
        <v>0.38</v>
      </c>
      <c r="H905" s="13" t="n">
        <v>4</v>
      </c>
      <c r="I905" s="11" t="n">
        <v>323</v>
      </c>
      <c r="J905" s="11" t="n">
        <f aca="false">E905-F905</f>
        <v>22643</v>
      </c>
      <c r="K905" s="10" t="str">
        <f aca="false">IF(G905&lt;0.2,"0-19%",IF(G905&lt;0.4,"20-39%",IF(G905&lt;0.6,"40-59%",IF(G905&lt;0.8,"60-79%","80%+"))))</f>
        <v>20-39%</v>
      </c>
      <c r="L905" s="10" t="str">
        <f aca="false">IF(H905="","No rating",IF(H905&lt;3.5,"Below 3.5",IF(H905&lt;4,"3.5-3.9",IF(H905&lt;4.5,"4.0-4.4","4.5+"))))</f>
        <v>4.0-4.4</v>
      </c>
    </row>
    <row r="906" customFormat="false" ht="15" hidden="false" customHeight="false" outlineLevel="0" collapsed="false">
      <c r="A906" s="10" t="s">
        <v>1841</v>
      </c>
      <c r="B906" s="10" t="s">
        <v>1842</v>
      </c>
      <c r="C906" s="10" t="s">
        <v>48</v>
      </c>
      <c r="D906" s="10" t="s">
        <v>722</v>
      </c>
      <c r="E906" s="11" t="n">
        <v>2490</v>
      </c>
      <c r="F906" s="11" t="n">
        <v>849</v>
      </c>
      <c r="G906" s="12" t="n">
        <v>0.66</v>
      </c>
      <c r="H906" s="13" t="n">
        <v>4.2</v>
      </c>
      <c r="I906" s="11" t="n">
        <v>91188</v>
      </c>
      <c r="J906" s="11" t="n">
        <f aca="false">E906-F906</f>
        <v>1641</v>
      </c>
      <c r="K906" s="10" t="str">
        <f aca="false">IF(G906&lt;0.2,"0-19%",IF(G906&lt;0.4,"20-39%",IF(G906&lt;0.6,"40-59%",IF(G906&lt;0.8,"60-79%","80%+"))))</f>
        <v>60-79%</v>
      </c>
      <c r="L906" s="10" t="str">
        <f aca="false">IF(H906="","No rating",IF(H906&lt;3.5,"Below 3.5",IF(H906&lt;4,"3.5-3.9",IF(H906&lt;4.5,"4.0-4.4","4.5+"))))</f>
        <v>4.0-4.4</v>
      </c>
    </row>
    <row r="907" customFormat="false" ht="15" hidden="false" customHeight="false" outlineLevel="0" collapsed="false">
      <c r="A907" s="10" t="s">
        <v>1843</v>
      </c>
      <c r="B907" s="10" t="s">
        <v>1844</v>
      </c>
      <c r="C907" s="10" t="s">
        <v>48</v>
      </c>
      <c r="D907" s="10" t="s">
        <v>290</v>
      </c>
      <c r="E907" s="11" t="n">
        <v>1999</v>
      </c>
      <c r="F907" s="11" t="n">
        <v>799</v>
      </c>
      <c r="G907" s="12" t="n">
        <v>0.6</v>
      </c>
      <c r="H907" s="13" t="n">
        <v>3.7</v>
      </c>
      <c r="I907" s="11" t="n">
        <v>418</v>
      </c>
      <c r="J907" s="11" t="n">
        <f aca="false">E907-F907</f>
        <v>1200</v>
      </c>
      <c r="K907" s="10" t="str">
        <f aca="false">IF(G907&lt;0.2,"0-19%",IF(G907&lt;0.4,"20-39%",IF(G907&lt;0.6,"40-59%",IF(G907&lt;0.8,"60-79%","80%+"))))</f>
        <v>60-79%</v>
      </c>
      <c r="L907" s="10" t="str">
        <f aca="false">IF(H907="","No rating",IF(H907&lt;3.5,"Below 3.5",IF(H907&lt;4,"3.5-3.9",IF(H907&lt;4.5,"4.0-4.4","4.5+"))))</f>
        <v>3.5-3.9</v>
      </c>
    </row>
    <row r="908" customFormat="false" ht="15" hidden="false" customHeight="false" outlineLevel="0" collapsed="false">
      <c r="A908" s="10" t="s">
        <v>1845</v>
      </c>
      <c r="B908" s="10" t="s">
        <v>1846</v>
      </c>
      <c r="C908" s="10" t="s">
        <v>21</v>
      </c>
      <c r="D908" s="10" t="s">
        <v>22</v>
      </c>
      <c r="E908" s="11" t="n">
        <v>999</v>
      </c>
      <c r="F908" s="11" t="n">
        <v>298</v>
      </c>
      <c r="G908" s="12" t="n">
        <v>0.7</v>
      </c>
      <c r="H908" s="13" t="n">
        <v>4.3</v>
      </c>
      <c r="I908" s="11" t="n">
        <v>1552</v>
      </c>
      <c r="J908" s="11" t="n">
        <f aca="false">E908-F908</f>
        <v>701</v>
      </c>
      <c r="K908" s="10" t="str">
        <f aca="false">IF(G908&lt;0.2,"0-19%",IF(G908&lt;0.4,"20-39%",IF(G908&lt;0.6,"40-59%",IF(G908&lt;0.8,"60-79%","80%+"))))</f>
        <v>60-79%</v>
      </c>
      <c r="L908" s="10" t="str">
        <f aca="false">IF(H908="","No rating",IF(H908&lt;3.5,"Below 3.5",IF(H908&lt;4,"3.5-3.9",IF(H908&lt;4.5,"4.0-4.4","4.5+"))))</f>
        <v>4.0-4.4</v>
      </c>
    </row>
    <row r="909" customFormat="false" ht="15" hidden="false" customHeight="false" outlineLevel="0" collapsed="false">
      <c r="A909" s="10" t="s">
        <v>1847</v>
      </c>
      <c r="B909" s="10" t="s">
        <v>1848</v>
      </c>
      <c r="C909" s="10" t="s">
        <v>48</v>
      </c>
      <c r="D909" s="10" t="s">
        <v>290</v>
      </c>
      <c r="E909" s="11" t="n">
        <v>2999</v>
      </c>
      <c r="F909" s="11" t="n">
        <v>1499</v>
      </c>
      <c r="G909" s="12" t="n">
        <v>0.5</v>
      </c>
      <c r="H909" s="13" t="n">
        <v>4.1</v>
      </c>
      <c r="I909" s="11" t="n">
        <v>25262</v>
      </c>
      <c r="J909" s="11" t="n">
        <f aca="false">E909-F909</f>
        <v>1500</v>
      </c>
      <c r="K909" s="10" t="str">
        <f aca="false">IF(G909&lt;0.2,"0-19%",IF(G909&lt;0.4,"20-39%",IF(G909&lt;0.6,"40-59%",IF(G909&lt;0.8,"60-79%","80%+"))))</f>
        <v>40-59%</v>
      </c>
      <c r="L909" s="10" t="str">
        <f aca="false">IF(H909="","No rating",IF(H909&lt;3.5,"Below 3.5",IF(H909&lt;4,"3.5-3.9",IF(H909&lt;4.5,"4.0-4.4","4.5+"))))</f>
        <v>4.0-4.4</v>
      </c>
    </row>
    <row r="910" customFormat="false" ht="15" hidden="false" customHeight="false" outlineLevel="0" collapsed="false">
      <c r="A910" s="10" t="s">
        <v>1849</v>
      </c>
      <c r="B910" s="10" t="s">
        <v>1850</v>
      </c>
      <c r="C910" s="10" t="s">
        <v>1181</v>
      </c>
      <c r="D910" s="10" t="s">
        <v>1851</v>
      </c>
      <c r="E910" s="11" t="n">
        <v>1245</v>
      </c>
      <c r="F910" s="11" t="n">
        <v>649</v>
      </c>
      <c r="G910" s="12" t="n">
        <v>0.48</v>
      </c>
      <c r="H910" s="13" t="n">
        <v>3.9</v>
      </c>
      <c r="I910" s="11" t="n">
        <v>123365</v>
      </c>
      <c r="J910" s="11" t="n">
        <f aca="false">E910-F910</f>
        <v>596</v>
      </c>
      <c r="K910" s="10" t="str">
        <f aca="false">IF(G910&lt;0.2,"0-19%",IF(G910&lt;0.4,"20-39%",IF(G910&lt;0.6,"40-59%",IF(G910&lt;0.8,"60-79%","80%+"))))</f>
        <v>40-59%</v>
      </c>
      <c r="L910" s="10" t="str">
        <f aca="false">IF(H910="","No rating",IF(H910&lt;3.5,"Below 3.5",IF(H910&lt;4,"3.5-3.9",IF(H910&lt;4.5,"4.0-4.4","4.5+"))))</f>
        <v>3.5-3.9</v>
      </c>
    </row>
    <row r="911" customFormat="false" ht="15" hidden="false" customHeight="false" outlineLevel="0" collapsed="false">
      <c r="A911" s="10" t="s">
        <v>1852</v>
      </c>
      <c r="B911" s="10" t="s">
        <v>1853</v>
      </c>
      <c r="C911" s="10" t="s">
        <v>1181</v>
      </c>
      <c r="D911" s="10" t="s">
        <v>1854</v>
      </c>
      <c r="E911" s="11" t="n">
        <v>1695</v>
      </c>
      <c r="F911" s="11" t="n">
        <v>1199</v>
      </c>
      <c r="G911" s="12" t="n">
        <v>0.29</v>
      </c>
      <c r="H911" s="13" t="n">
        <v>3.6</v>
      </c>
      <c r="I911" s="11" t="n">
        <v>13300</v>
      </c>
      <c r="J911" s="11" t="n">
        <f aca="false">E911-F911</f>
        <v>496</v>
      </c>
      <c r="K911" s="10" t="str">
        <f aca="false">IF(G911&lt;0.2,"0-19%",IF(G911&lt;0.4,"20-39%",IF(G911&lt;0.6,"40-59%",IF(G911&lt;0.8,"60-79%","80%+"))))</f>
        <v>20-39%</v>
      </c>
      <c r="L911" s="10" t="str">
        <f aca="false">IF(H911="","No rating",IF(H911&lt;3.5,"Below 3.5",IF(H911&lt;4,"3.5-3.9",IF(H911&lt;4.5,"4.0-4.4","4.5+"))))</f>
        <v>3.5-3.9</v>
      </c>
    </row>
    <row r="912" customFormat="false" ht="15" hidden="false" customHeight="false" outlineLevel="0" collapsed="false">
      <c r="A912" s="10" t="s">
        <v>1855</v>
      </c>
      <c r="B912" s="10" t="s">
        <v>1856</v>
      </c>
      <c r="C912" s="10" t="s">
        <v>1181</v>
      </c>
      <c r="D912" s="10" t="s">
        <v>1854</v>
      </c>
      <c r="E912" s="11" t="n">
        <v>2000</v>
      </c>
      <c r="F912" s="11" t="n">
        <v>1199</v>
      </c>
      <c r="G912" s="12" t="n">
        <v>0.4</v>
      </c>
      <c r="H912" s="13" t="n">
        <v>4</v>
      </c>
      <c r="I912" s="11" t="n">
        <v>18543</v>
      </c>
      <c r="J912" s="11" t="n">
        <f aca="false">E912-F912</f>
        <v>801</v>
      </c>
      <c r="K912" s="10" t="str">
        <f aca="false">IF(G912&lt;0.2,"0-19%",IF(G912&lt;0.4,"20-39%",IF(G912&lt;0.6,"40-59%",IF(G912&lt;0.8,"60-79%","80%+"))))</f>
        <v>40-59%</v>
      </c>
      <c r="L912" s="10" t="str">
        <f aca="false">IF(H912="","No rating",IF(H912&lt;3.5,"Below 3.5",IF(H912&lt;4,"3.5-3.9",IF(H912&lt;4.5,"4.0-4.4","4.5+"))))</f>
        <v>4.0-4.4</v>
      </c>
    </row>
    <row r="913" customFormat="false" ht="15" hidden="false" customHeight="false" outlineLevel="0" collapsed="false">
      <c r="A913" s="10" t="s">
        <v>1857</v>
      </c>
      <c r="B913" s="10" t="s">
        <v>1858</v>
      </c>
      <c r="C913" s="10" t="s">
        <v>1181</v>
      </c>
      <c r="D913" s="10" t="s">
        <v>1851</v>
      </c>
      <c r="E913" s="11" t="n">
        <v>999</v>
      </c>
      <c r="F913" s="11" t="n">
        <v>455</v>
      </c>
      <c r="G913" s="12" t="n">
        <v>0.54</v>
      </c>
      <c r="H913" s="13" t="n">
        <v>4.1</v>
      </c>
      <c r="I913" s="11" t="n">
        <v>3578</v>
      </c>
      <c r="J913" s="11" t="n">
        <f aca="false">E913-F913</f>
        <v>544</v>
      </c>
      <c r="K913" s="10" t="str">
        <f aca="false">IF(G913&lt;0.2,"0-19%",IF(G913&lt;0.4,"20-39%",IF(G913&lt;0.6,"40-59%",IF(G913&lt;0.8,"60-79%","80%+"))))</f>
        <v>40-59%</v>
      </c>
      <c r="L913" s="10" t="str">
        <f aca="false">IF(H913="","No rating",IF(H913&lt;3.5,"Below 3.5",IF(H913&lt;4,"3.5-3.9",IF(H913&lt;4.5,"4.0-4.4","4.5+"))))</f>
        <v>4.0-4.4</v>
      </c>
    </row>
    <row r="914" customFormat="false" ht="15" hidden="false" customHeight="false" outlineLevel="0" collapsed="false">
      <c r="A914" s="10" t="s">
        <v>1859</v>
      </c>
      <c r="B914" s="10" t="s">
        <v>1860</v>
      </c>
      <c r="C914" s="10" t="s">
        <v>1181</v>
      </c>
      <c r="D914" s="10" t="s">
        <v>1851</v>
      </c>
      <c r="E914" s="11" t="n">
        <v>1999</v>
      </c>
      <c r="F914" s="11" t="n">
        <v>199</v>
      </c>
      <c r="G914" s="12" t="n">
        <v>0.9</v>
      </c>
      <c r="H914" s="13" t="n">
        <v>3.7</v>
      </c>
      <c r="I914" s="11" t="n">
        <v>2031</v>
      </c>
      <c r="J914" s="11" t="n">
        <f aca="false">E914-F914</f>
        <v>1800</v>
      </c>
      <c r="K914" s="10" t="str">
        <f aca="false">IF(G914&lt;0.2,"0-19%",IF(G914&lt;0.4,"20-39%",IF(G914&lt;0.6,"40-59%",IF(G914&lt;0.8,"60-79%","80%+"))))</f>
        <v>80%+</v>
      </c>
      <c r="L914" s="10" t="str">
        <f aca="false">IF(H914="","No rating",IF(H914&lt;3.5,"Below 3.5",IF(H914&lt;4,"3.5-3.9",IF(H914&lt;4.5,"4.0-4.4","4.5+"))))</f>
        <v>3.5-3.9</v>
      </c>
    </row>
    <row r="915" customFormat="false" ht="15" hidden="false" customHeight="false" outlineLevel="0" collapsed="false">
      <c r="A915" s="10" t="s">
        <v>1861</v>
      </c>
      <c r="B915" s="10" t="s">
        <v>1862</v>
      </c>
      <c r="C915" s="10" t="s">
        <v>1181</v>
      </c>
      <c r="D915" s="10" t="s">
        <v>1851</v>
      </c>
      <c r="E915" s="11" t="n">
        <v>499</v>
      </c>
      <c r="F915" s="11" t="n">
        <v>293</v>
      </c>
      <c r="G915" s="12" t="n">
        <v>0.41</v>
      </c>
      <c r="H915" s="13" t="n">
        <v>3.9</v>
      </c>
      <c r="I915" s="11" t="n">
        <v>44994</v>
      </c>
      <c r="J915" s="11" t="n">
        <f aca="false">E915-F915</f>
        <v>206</v>
      </c>
      <c r="K915" s="10" t="str">
        <f aca="false">IF(G915&lt;0.2,"0-19%",IF(G915&lt;0.4,"20-39%",IF(G915&lt;0.6,"40-59%",IF(G915&lt;0.8,"60-79%","80%+"))))</f>
        <v>40-59%</v>
      </c>
      <c r="L915" s="10" t="str">
        <f aca="false">IF(H915="","No rating",IF(H915&lt;3.5,"Below 3.5",IF(H915&lt;4,"3.5-3.9",IF(H915&lt;4.5,"4.0-4.4","4.5+"))))</f>
        <v>3.5-3.9</v>
      </c>
    </row>
    <row r="916" customFormat="false" ht="15" hidden="false" customHeight="false" outlineLevel="0" collapsed="false">
      <c r="A916" s="10" t="s">
        <v>1863</v>
      </c>
      <c r="B916" s="10" t="s">
        <v>1864</v>
      </c>
      <c r="C916" s="10" t="s">
        <v>1181</v>
      </c>
      <c r="D916" s="10" t="s">
        <v>1865</v>
      </c>
      <c r="E916" s="11" t="n">
        <v>495</v>
      </c>
      <c r="F916" s="11" t="n">
        <v>199</v>
      </c>
      <c r="G916" s="12" t="n">
        <v>0.6</v>
      </c>
      <c r="H916" s="13" t="n">
        <v>4.1</v>
      </c>
      <c r="I916" s="11" t="n">
        <v>270563</v>
      </c>
      <c r="J916" s="11" t="n">
        <f aca="false">E916-F916</f>
        <v>296</v>
      </c>
      <c r="K916" s="10" t="str">
        <f aca="false">IF(G916&lt;0.2,"0-19%",IF(G916&lt;0.4,"20-39%",IF(G916&lt;0.6,"40-59%",IF(G916&lt;0.8,"60-79%","80%+"))))</f>
        <v>60-79%</v>
      </c>
      <c r="L916" s="10" t="str">
        <f aca="false">IF(H916="","No rating",IF(H916&lt;3.5,"Below 3.5",IF(H916&lt;4,"3.5-3.9",IF(H916&lt;4.5,"4.0-4.4","4.5+"))))</f>
        <v>4.0-4.4</v>
      </c>
    </row>
    <row r="917" customFormat="false" ht="15" hidden="false" customHeight="false" outlineLevel="0" collapsed="false">
      <c r="A917" s="10" t="s">
        <v>1866</v>
      </c>
      <c r="B917" s="10" t="s">
        <v>1867</v>
      </c>
      <c r="C917" s="10" t="s">
        <v>1181</v>
      </c>
      <c r="D917" s="10" t="s">
        <v>1851</v>
      </c>
      <c r="E917" s="11" t="n">
        <v>1245</v>
      </c>
      <c r="F917" s="11" t="n">
        <v>749</v>
      </c>
      <c r="G917" s="12" t="n">
        <v>0.4</v>
      </c>
      <c r="H917" s="13" t="n">
        <v>3.9</v>
      </c>
      <c r="I917" s="11" t="n">
        <v>31783</v>
      </c>
      <c r="J917" s="11" t="n">
        <f aca="false">E917-F917</f>
        <v>496</v>
      </c>
      <c r="K917" s="10" t="str">
        <f aca="false">IF(G917&lt;0.2,"0-19%",IF(G917&lt;0.4,"20-39%",IF(G917&lt;0.6,"40-59%",IF(G917&lt;0.8,"60-79%","80%+"))))</f>
        <v>40-59%</v>
      </c>
      <c r="L917" s="10" t="str">
        <f aca="false">IF(H917="","No rating",IF(H917&lt;3.5,"Below 3.5",IF(H917&lt;4,"3.5-3.9",IF(H917&lt;4.5,"4.0-4.4","4.5+"))))</f>
        <v>3.5-3.9</v>
      </c>
    </row>
    <row r="918" customFormat="false" ht="15" hidden="false" customHeight="false" outlineLevel="0" collapsed="false">
      <c r="A918" s="10" t="s">
        <v>1868</v>
      </c>
      <c r="B918" s="10" t="s">
        <v>1869</v>
      </c>
      <c r="C918" s="10" t="s">
        <v>1181</v>
      </c>
      <c r="D918" s="10" t="s">
        <v>1854</v>
      </c>
      <c r="E918" s="11" t="n">
        <v>1549</v>
      </c>
      <c r="F918" s="11" t="n">
        <v>1399</v>
      </c>
      <c r="G918" s="12" t="n">
        <v>0.1</v>
      </c>
      <c r="H918" s="13" t="n">
        <v>3.9</v>
      </c>
      <c r="I918" s="11" t="n">
        <v>2602</v>
      </c>
      <c r="J918" s="11" t="n">
        <f aca="false">E918-F918</f>
        <v>150</v>
      </c>
      <c r="K918" s="10" t="str">
        <f aca="false">IF(G918&lt;0.2,"0-19%",IF(G918&lt;0.4,"20-39%",IF(G918&lt;0.6,"40-59%",IF(G918&lt;0.8,"60-79%","80%+"))))</f>
        <v>0-19%</v>
      </c>
      <c r="L918" s="10" t="str">
        <f aca="false">IF(H918="","No rating",IF(H918&lt;3.5,"Below 3.5",IF(H918&lt;4,"3.5-3.9",IF(H918&lt;4.5,"4.0-4.4","4.5+"))))</f>
        <v>3.5-3.9</v>
      </c>
    </row>
    <row r="919" customFormat="false" ht="15" hidden="false" customHeight="false" outlineLevel="0" collapsed="false">
      <c r="A919" s="10" t="s">
        <v>1870</v>
      </c>
      <c r="B919" s="10" t="s">
        <v>1871</v>
      </c>
      <c r="C919" s="10" t="s">
        <v>1181</v>
      </c>
      <c r="D919" s="10" t="s">
        <v>1851</v>
      </c>
      <c r="E919" s="11" t="n">
        <v>1445</v>
      </c>
      <c r="F919" s="11" t="n">
        <v>749</v>
      </c>
      <c r="G919" s="12" t="n">
        <v>0.48</v>
      </c>
      <c r="H919" s="13" t="n">
        <v>3.9</v>
      </c>
      <c r="I919" s="11" t="n">
        <v>63350</v>
      </c>
      <c r="J919" s="11" t="n">
        <f aca="false">E919-F919</f>
        <v>696</v>
      </c>
      <c r="K919" s="10" t="str">
        <f aca="false">IF(G919&lt;0.2,"0-19%",IF(G919&lt;0.4,"20-39%",IF(G919&lt;0.6,"40-59%",IF(G919&lt;0.8,"60-79%","80%+"))))</f>
        <v>40-59%</v>
      </c>
      <c r="L919" s="10" t="str">
        <f aca="false">IF(H919="","No rating",IF(H919&lt;3.5,"Below 3.5",IF(H919&lt;4,"3.5-3.9",IF(H919&lt;4.5,"4.0-4.4","4.5+"))))</f>
        <v>3.5-3.9</v>
      </c>
    </row>
    <row r="920" customFormat="false" ht="15" hidden="false" customHeight="false" outlineLevel="0" collapsed="false">
      <c r="A920" s="10" t="s">
        <v>1872</v>
      </c>
      <c r="B920" s="10" t="s">
        <v>1873</v>
      </c>
      <c r="C920" s="10" t="s">
        <v>1181</v>
      </c>
      <c r="D920" s="10" t="s">
        <v>1851</v>
      </c>
      <c r="E920" s="11" t="n">
        <v>3193</v>
      </c>
      <c r="F920" s="11" t="n">
        <v>1699</v>
      </c>
      <c r="G920" s="12" t="n">
        <v>0.47</v>
      </c>
      <c r="H920" s="13" t="n">
        <v>3.8</v>
      </c>
      <c r="I920" s="11" t="n">
        <v>54032</v>
      </c>
      <c r="J920" s="11" t="n">
        <f aca="false">E920-F920</f>
        <v>1494</v>
      </c>
      <c r="K920" s="10" t="str">
        <f aca="false">IF(G920&lt;0.2,"0-19%",IF(G920&lt;0.4,"20-39%",IF(G920&lt;0.6,"40-59%",IF(G920&lt;0.8,"60-79%","80%+"))))</f>
        <v>40-59%</v>
      </c>
      <c r="L920" s="10" t="str">
        <f aca="false">IF(H920="","No rating",IF(H920&lt;3.5,"Below 3.5",IF(H920&lt;4,"3.5-3.9",IF(H920&lt;4.5,"4.0-4.4","4.5+"))))</f>
        <v>3.5-3.9</v>
      </c>
    </row>
    <row r="921" customFormat="false" ht="15" hidden="false" customHeight="false" outlineLevel="0" collapsed="false">
      <c r="A921" s="10" t="s">
        <v>1874</v>
      </c>
      <c r="B921" s="10" t="s">
        <v>1875</v>
      </c>
      <c r="C921" s="10" t="s">
        <v>1181</v>
      </c>
      <c r="D921" s="10" t="s">
        <v>1851</v>
      </c>
      <c r="E921" s="11" t="n">
        <v>1345</v>
      </c>
      <c r="F921" s="11" t="n">
        <v>1043</v>
      </c>
      <c r="G921" s="12" t="n">
        <v>0.22</v>
      </c>
      <c r="H921" s="13" t="n">
        <v>3.8</v>
      </c>
      <c r="I921" s="11" t="n">
        <v>15592</v>
      </c>
      <c r="J921" s="11" t="n">
        <f aca="false">E921-F921</f>
        <v>302</v>
      </c>
      <c r="K921" s="10" t="str">
        <f aca="false">IF(G921&lt;0.2,"0-19%",IF(G921&lt;0.4,"20-39%",IF(G921&lt;0.6,"40-59%",IF(G921&lt;0.8,"60-79%","80%+"))))</f>
        <v>20-39%</v>
      </c>
      <c r="L921" s="10" t="str">
        <f aca="false">IF(H921="","No rating",IF(H921&lt;3.5,"Below 3.5",IF(H921&lt;4,"3.5-3.9",IF(H921&lt;4.5,"4.0-4.4","4.5+"))))</f>
        <v>3.5-3.9</v>
      </c>
    </row>
    <row r="922" customFormat="false" ht="15" hidden="false" customHeight="false" outlineLevel="0" collapsed="false">
      <c r="A922" s="10" t="s">
        <v>1876</v>
      </c>
      <c r="B922" s="10" t="s">
        <v>1877</v>
      </c>
      <c r="C922" s="10" t="s">
        <v>1181</v>
      </c>
      <c r="D922" s="10" t="s">
        <v>1851</v>
      </c>
      <c r="E922" s="11" t="n">
        <v>999</v>
      </c>
      <c r="F922" s="11" t="n">
        <v>499</v>
      </c>
      <c r="G922" s="12" t="n">
        <v>0.5</v>
      </c>
      <c r="H922" s="13" t="n">
        <v>4.1</v>
      </c>
      <c r="I922" s="11" t="n">
        <v>4859</v>
      </c>
      <c r="J922" s="11" t="n">
        <f aca="false">E922-F922</f>
        <v>500</v>
      </c>
      <c r="K922" s="10" t="str">
        <f aca="false">IF(G922&lt;0.2,"0-19%",IF(G922&lt;0.4,"20-39%",IF(G922&lt;0.6,"40-59%",IF(G922&lt;0.8,"60-79%","80%+"))))</f>
        <v>40-59%</v>
      </c>
      <c r="L922" s="10" t="str">
        <f aca="false">IF(H922="","No rating",IF(H922&lt;3.5,"Below 3.5",IF(H922&lt;4,"3.5-3.9",IF(H922&lt;4.5,"4.0-4.4","4.5+"))))</f>
        <v>4.0-4.4</v>
      </c>
    </row>
    <row r="923" customFormat="false" ht="15" hidden="false" customHeight="false" outlineLevel="0" collapsed="false">
      <c r="A923" s="10" t="s">
        <v>1878</v>
      </c>
      <c r="B923" s="10" t="s">
        <v>1879</v>
      </c>
      <c r="C923" s="10" t="s">
        <v>1181</v>
      </c>
      <c r="D923" s="10" t="s">
        <v>1854</v>
      </c>
      <c r="E923" s="11" t="n">
        <v>1650</v>
      </c>
      <c r="F923" s="11" t="n">
        <v>1464</v>
      </c>
      <c r="G923" s="12" t="n">
        <v>0.11</v>
      </c>
      <c r="H923" s="13" t="n">
        <v>4.1</v>
      </c>
      <c r="I923" s="11" t="n">
        <v>14120</v>
      </c>
      <c r="J923" s="11" t="n">
        <f aca="false">E923-F923</f>
        <v>186</v>
      </c>
      <c r="K923" s="10" t="str">
        <f aca="false">IF(G923&lt;0.2,"0-19%",IF(G923&lt;0.4,"20-39%",IF(G923&lt;0.6,"40-59%",IF(G923&lt;0.8,"60-79%","80%+"))))</f>
        <v>0-19%</v>
      </c>
      <c r="L923" s="10" t="str">
        <f aca="false">IF(H923="","No rating",IF(H923&lt;3.5,"Below 3.5",IF(H923&lt;4,"3.5-3.9",IF(H923&lt;4.5,"4.0-4.4","4.5+"))))</f>
        <v>4.0-4.4</v>
      </c>
    </row>
    <row r="924" customFormat="false" ht="15" hidden="false" customHeight="false" outlineLevel="0" collapsed="false">
      <c r="A924" s="10" t="s">
        <v>1880</v>
      </c>
      <c r="B924" s="10" t="s">
        <v>1881</v>
      </c>
      <c r="C924" s="10" t="s">
        <v>1181</v>
      </c>
      <c r="D924" s="10" t="s">
        <v>1851</v>
      </c>
      <c r="E924" s="11" t="n">
        <v>499</v>
      </c>
      <c r="F924" s="11" t="n">
        <v>249</v>
      </c>
      <c r="G924" s="12" t="n">
        <v>0.5</v>
      </c>
      <c r="H924" s="13" t="n">
        <v>3.3</v>
      </c>
      <c r="I924" s="11" t="n">
        <v>8427</v>
      </c>
      <c r="J924" s="11" t="n">
        <f aca="false">E924-F924</f>
        <v>250</v>
      </c>
      <c r="K924" s="10" t="str">
        <f aca="false">IF(G924&lt;0.2,"0-19%",IF(G924&lt;0.4,"20-39%",IF(G924&lt;0.6,"40-59%",IF(G924&lt;0.8,"60-79%","80%+"))))</f>
        <v>40-59%</v>
      </c>
      <c r="L924" s="10" t="str">
        <f aca="false">IF(H924="","No rating",IF(H924&lt;3.5,"Below 3.5",IF(H924&lt;4,"3.5-3.9",IF(H924&lt;4.5,"4.0-4.4","4.5+"))))</f>
        <v>Below 3.5</v>
      </c>
    </row>
    <row r="925" customFormat="false" ht="15" hidden="false" customHeight="false" outlineLevel="0" collapsed="false">
      <c r="A925" s="10" t="s">
        <v>1882</v>
      </c>
      <c r="B925" s="10" t="s">
        <v>1883</v>
      </c>
      <c r="C925" s="10" t="s">
        <v>1181</v>
      </c>
      <c r="D925" s="10" t="s">
        <v>1851</v>
      </c>
      <c r="E925" s="11" t="n">
        <v>1400</v>
      </c>
      <c r="F925" s="11" t="n">
        <v>625</v>
      </c>
      <c r="G925" s="12" t="n">
        <v>0.55</v>
      </c>
      <c r="H925" s="13" t="n">
        <v>4.2</v>
      </c>
      <c r="I925" s="11" t="n">
        <v>23316</v>
      </c>
      <c r="J925" s="11" t="n">
        <f aca="false">E925-F925</f>
        <v>775</v>
      </c>
      <c r="K925" s="10" t="str">
        <f aca="false">IF(G925&lt;0.2,"0-19%",IF(G925&lt;0.4,"20-39%",IF(G925&lt;0.6,"40-59%",IF(G925&lt;0.8,"60-79%","80%+"))))</f>
        <v>40-59%</v>
      </c>
      <c r="L925" s="10" t="str">
        <f aca="false">IF(H925="","No rating",IF(H925&lt;3.5,"Below 3.5",IF(H925&lt;4,"3.5-3.9",IF(H925&lt;4.5,"4.0-4.4","4.5+"))))</f>
        <v>4.0-4.4</v>
      </c>
    </row>
    <row r="926" customFormat="false" ht="15" hidden="false" customHeight="false" outlineLevel="0" collapsed="false">
      <c r="A926" s="10" t="s">
        <v>1884</v>
      </c>
      <c r="B926" s="10" t="s">
        <v>1885</v>
      </c>
      <c r="C926" s="10" t="s">
        <v>1181</v>
      </c>
      <c r="D926" s="10" t="s">
        <v>1851</v>
      </c>
      <c r="E926" s="11" t="n">
        <v>2500</v>
      </c>
      <c r="F926" s="11" t="n">
        <v>1290</v>
      </c>
      <c r="G926" s="12" t="n">
        <v>0.48</v>
      </c>
      <c r="H926" s="13" t="n">
        <v>4</v>
      </c>
      <c r="I926" s="11" t="n">
        <v>6530</v>
      </c>
      <c r="J926" s="11" t="n">
        <f aca="false">E926-F926</f>
        <v>1210</v>
      </c>
      <c r="K926" s="10" t="str">
        <f aca="false">IF(G926&lt;0.2,"0-19%",IF(G926&lt;0.4,"20-39%",IF(G926&lt;0.6,"40-59%",IF(G926&lt;0.8,"60-79%","80%+"))))</f>
        <v>40-59%</v>
      </c>
      <c r="L926" s="10" t="str">
        <f aca="false">IF(H926="","No rating",IF(H926&lt;3.5,"Below 3.5",IF(H926&lt;4,"3.5-3.9",IF(H926&lt;4.5,"4.0-4.4","4.5+"))))</f>
        <v>4.0-4.4</v>
      </c>
    </row>
    <row r="927" customFormat="false" ht="15" hidden="false" customHeight="false" outlineLevel="0" collapsed="false">
      <c r="A927" s="10" t="s">
        <v>1886</v>
      </c>
      <c r="B927" s="10" t="s">
        <v>1887</v>
      </c>
      <c r="C927" s="10" t="s">
        <v>1181</v>
      </c>
      <c r="D927" s="10" t="s">
        <v>1854</v>
      </c>
      <c r="E927" s="11" t="n">
        <v>6190</v>
      </c>
      <c r="F927" s="11" t="n">
        <v>3600</v>
      </c>
      <c r="G927" s="12" t="n">
        <v>0.42</v>
      </c>
      <c r="H927" s="13" t="n">
        <v>4.3</v>
      </c>
      <c r="I927" s="11" t="n">
        <v>11924</v>
      </c>
      <c r="J927" s="11" t="n">
        <f aca="false">E927-F927</f>
        <v>2590</v>
      </c>
      <c r="K927" s="10" t="str">
        <f aca="false">IF(G927&lt;0.2,"0-19%",IF(G927&lt;0.4,"20-39%",IF(G927&lt;0.6,"40-59%",IF(G927&lt;0.8,"60-79%","80%+"))))</f>
        <v>40-59%</v>
      </c>
      <c r="L927" s="10" t="str">
        <f aca="false">IF(H927="","No rating",IF(H927&lt;3.5,"Below 3.5",IF(H927&lt;4,"3.5-3.9",IF(H927&lt;4.5,"4.0-4.4","4.5+"))))</f>
        <v>4.0-4.4</v>
      </c>
    </row>
    <row r="928" customFormat="false" ht="15" hidden="false" customHeight="false" outlineLevel="0" collapsed="false">
      <c r="A928" s="10" t="s">
        <v>1888</v>
      </c>
      <c r="B928" s="10" t="s">
        <v>1889</v>
      </c>
      <c r="C928" s="10" t="s">
        <v>1181</v>
      </c>
      <c r="D928" s="10" t="s">
        <v>1854</v>
      </c>
      <c r="E928" s="11" t="n">
        <v>13999</v>
      </c>
      <c r="F928" s="11" t="n">
        <v>6549</v>
      </c>
      <c r="G928" s="12" t="n">
        <v>0.53</v>
      </c>
      <c r="H928" s="13" t="n">
        <v>4</v>
      </c>
      <c r="I928" s="11" t="n">
        <v>2961</v>
      </c>
      <c r="J928" s="11" t="n">
        <f aca="false">E928-F928</f>
        <v>7450</v>
      </c>
      <c r="K928" s="10" t="str">
        <f aca="false">IF(G928&lt;0.2,"0-19%",IF(G928&lt;0.4,"20-39%",IF(G928&lt;0.6,"40-59%",IF(G928&lt;0.8,"60-79%","80%+"))))</f>
        <v>40-59%</v>
      </c>
      <c r="L928" s="10" t="str">
        <f aca="false">IF(H928="","No rating",IF(H928&lt;3.5,"Below 3.5",IF(H928&lt;4,"3.5-3.9",IF(H928&lt;4.5,"4.0-4.4","4.5+"))))</f>
        <v>4.0-4.4</v>
      </c>
    </row>
    <row r="929" customFormat="false" ht="15" hidden="false" customHeight="false" outlineLevel="0" collapsed="false">
      <c r="A929" s="10" t="s">
        <v>1890</v>
      </c>
      <c r="B929" s="10" t="s">
        <v>1891</v>
      </c>
      <c r="C929" s="10" t="s">
        <v>1181</v>
      </c>
      <c r="D929" s="10" t="s">
        <v>1851</v>
      </c>
      <c r="E929" s="11" t="n">
        <v>2995</v>
      </c>
      <c r="F929" s="11" t="n">
        <v>1625</v>
      </c>
      <c r="G929" s="12" t="n">
        <v>0.46</v>
      </c>
      <c r="H929" s="13" t="n">
        <v>4.5</v>
      </c>
      <c r="I929" s="11" t="n">
        <v>23484</v>
      </c>
      <c r="J929" s="11" t="n">
        <f aca="false">E929-F929</f>
        <v>1370</v>
      </c>
      <c r="K929" s="10" t="str">
        <f aca="false">IF(G929&lt;0.2,"0-19%",IF(G929&lt;0.4,"20-39%",IF(G929&lt;0.6,"40-59%",IF(G929&lt;0.8,"60-79%","80%+"))))</f>
        <v>40-59%</v>
      </c>
      <c r="L929" s="10" t="str">
        <f aca="false">IF(H929="","No rating",IF(H929&lt;3.5,"Below 3.5",IF(H929&lt;4,"3.5-3.9",IF(H929&lt;4.5,"4.0-4.4","4.5+"))))</f>
        <v>4.5+</v>
      </c>
    </row>
    <row r="930" customFormat="false" ht="15" hidden="false" customHeight="false" outlineLevel="0" collapsed="false">
      <c r="A930" s="10" t="s">
        <v>1892</v>
      </c>
      <c r="B930" s="10" t="s">
        <v>1893</v>
      </c>
      <c r="C930" s="10" t="s">
        <v>1181</v>
      </c>
      <c r="D930" s="10" t="s">
        <v>1854</v>
      </c>
      <c r="E930" s="11" t="n">
        <v>5890</v>
      </c>
      <c r="F930" s="11" t="n">
        <v>2599</v>
      </c>
      <c r="G930" s="12" t="n">
        <v>0.56</v>
      </c>
      <c r="H930" s="13" t="n">
        <v>4.1</v>
      </c>
      <c r="I930" s="11" t="n">
        <v>21783</v>
      </c>
      <c r="J930" s="11" t="n">
        <f aca="false">E930-F930</f>
        <v>3291</v>
      </c>
      <c r="K930" s="10" t="str">
        <f aca="false">IF(G930&lt;0.2,"0-19%",IF(G930&lt;0.4,"20-39%",IF(G930&lt;0.6,"40-59%",IF(G930&lt;0.8,"60-79%","80%+"))))</f>
        <v>40-59%</v>
      </c>
      <c r="L930" s="10" t="str">
        <f aca="false">IF(H930="","No rating",IF(H930&lt;3.5,"Below 3.5",IF(H930&lt;4,"3.5-3.9",IF(H930&lt;4.5,"4.0-4.4","4.5+"))))</f>
        <v>4.0-4.4</v>
      </c>
    </row>
    <row r="931" customFormat="false" ht="15" hidden="false" customHeight="false" outlineLevel="0" collapsed="false">
      <c r="A931" s="10" t="s">
        <v>1894</v>
      </c>
      <c r="B931" s="10" t="s">
        <v>1895</v>
      </c>
      <c r="C931" s="10" t="s">
        <v>1181</v>
      </c>
      <c r="D931" s="10" t="s">
        <v>1851</v>
      </c>
      <c r="E931" s="11" t="n">
        <v>2000</v>
      </c>
      <c r="F931" s="11" t="n">
        <v>1199</v>
      </c>
      <c r="G931" s="12" t="n">
        <v>0.4</v>
      </c>
      <c r="H931" s="13" t="n">
        <v>4</v>
      </c>
      <c r="I931" s="11" t="n">
        <v>14030</v>
      </c>
      <c r="J931" s="11" t="n">
        <f aca="false">E931-F931</f>
        <v>801</v>
      </c>
      <c r="K931" s="10" t="str">
        <f aca="false">IF(G931&lt;0.2,"0-19%",IF(G931&lt;0.4,"20-39%",IF(G931&lt;0.6,"40-59%",IF(G931&lt;0.8,"60-79%","80%+"))))</f>
        <v>40-59%</v>
      </c>
      <c r="L931" s="10" t="str">
        <f aca="false">IF(H931="","No rating",IF(H931&lt;3.5,"Below 3.5",IF(H931&lt;4,"3.5-3.9",IF(H931&lt;4.5,"4.0-4.4","4.5+"))))</f>
        <v>4.0-4.4</v>
      </c>
    </row>
    <row r="932" customFormat="false" ht="15" hidden="false" customHeight="false" outlineLevel="0" collapsed="false">
      <c r="A932" s="10" t="s">
        <v>1896</v>
      </c>
      <c r="B932" s="10" t="s">
        <v>1897</v>
      </c>
      <c r="C932" s="10" t="s">
        <v>1181</v>
      </c>
      <c r="D932" s="10" t="s">
        <v>1854</v>
      </c>
      <c r="E932" s="11" t="n">
        <v>13150</v>
      </c>
      <c r="F932" s="11" t="n">
        <v>5499</v>
      </c>
      <c r="G932" s="12" t="n">
        <v>0.58</v>
      </c>
      <c r="H932" s="13" t="n">
        <v>4.2</v>
      </c>
      <c r="I932" s="11" t="n">
        <v>6398</v>
      </c>
      <c r="J932" s="11" t="n">
        <f aca="false">E932-F932</f>
        <v>7651</v>
      </c>
      <c r="K932" s="10" t="str">
        <f aca="false">IF(G932&lt;0.2,"0-19%",IF(G932&lt;0.4,"20-39%",IF(G932&lt;0.6,"40-59%",IF(G932&lt;0.8,"60-79%","80%+"))))</f>
        <v>40-59%</v>
      </c>
      <c r="L932" s="10" t="str">
        <f aca="false">IF(H932="","No rating",IF(H932&lt;3.5,"Below 3.5",IF(H932&lt;4,"3.5-3.9",IF(H932&lt;4.5,"4.0-4.4","4.5+"))))</f>
        <v>4.0-4.4</v>
      </c>
    </row>
    <row r="933" customFormat="false" ht="15" hidden="false" customHeight="false" outlineLevel="0" collapsed="false">
      <c r="A933" s="10" t="s">
        <v>1898</v>
      </c>
      <c r="B933" s="10" t="s">
        <v>1899</v>
      </c>
      <c r="C933" s="10" t="s">
        <v>1181</v>
      </c>
      <c r="D933" s="10" t="s">
        <v>1851</v>
      </c>
      <c r="E933" s="11" t="n">
        <v>3500</v>
      </c>
      <c r="F933" s="11" t="n">
        <v>1299</v>
      </c>
      <c r="G933" s="12" t="n">
        <v>0.63</v>
      </c>
      <c r="H933" s="13" t="n">
        <v>3.8</v>
      </c>
      <c r="I933" s="11" t="n">
        <v>44050</v>
      </c>
      <c r="J933" s="11" t="n">
        <f aca="false">E933-F933</f>
        <v>2201</v>
      </c>
      <c r="K933" s="10" t="str">
        <f aca="false">IF(G933&lt;0.2,"0-19%",IF(G933&lt;0.4,"20-39%",IF(G933&lt;0.6,"40-59%",IF(G933&lt;0.8,"60-79%","80%+"))))</f>
        <v>60-79%</v>
      </c>
      <c r="L933" s="10" t="str">
        <f aca="false">IF(H933="","No rating",IF(H933&lt;3.5,"Below 3.5",IF(H933&lt;4,"3.5-3.9",IF(H933&lt;4.5,"4.0-4.4","4.5+"))))</f>
        <v>3.5-3.9</v>
      </c>
    </row>
    <row r="934" customFormat="false" ht="15" hidden="false" customHeight="false" outlineLevel="0" collapsed="false">
      <c r="A934" s="10" t="s">
        <v>1900</v>
      </c>
      <c r="B934" s="10" t="s">
        <v>1901</v>
      </c>
      <c r="C934" s="10" t="s">
        <v>1181</v>
      </c>
      <c r="D934" s="10" t="s">
        <v>1851</v>
      </c>
      <c r="E934" s="11" t="n">
        <v>785</v>
      </c>
      <c r="F934" s="11" t="n">
        <v>599</v>
      </c>
      <c r="G934" s="12" t="n">
        <v>0.24</v>
      </c>
      <c r="H934" s="13" t="n">
        <v>4.2</v>
      </c>
      <c r="I934" s="11" t="n">
        <v>24247</v>
      </c>
      <c r="J934" s="11" t="n">
        <f aca="false">E934-F934</f>
        <v>186</v>
      </c>
      <c r="K934" s="10" t="str">
        <f aca="false">IF(G934&lt;0.2,"0-19%",IF(G934&lt;0.4,"20-39%",IF(G934&lt;0.6,"40-59%",IF(G934&lt;0.8,"60-79%","80%+"))))</f>
        <v>20-39%</v>
      </c>
      <c r="L934" s="10" t="str">
        <f aca="false">IF(H934="","No rating",IF(H934&lt;3.5,"Below 3.5",IF(H934&lt;4,"3.5-3.9",IF(H934&lt;4.5,"4.0-4.4","4.5+"))))</f>
        <v>4.0-4.4</v>
      </c>
    </row>
    <row r="935" customFormat="false" ht="15" hidden="false" customHeight="false" outlineLevel="0" collapsed="false">
      <c r="A935" s="10" t="s">
        <v>1902</v>
      </c>
      <c r="B935" s="10" t="s">
        <v>1903</v>
      </c>
      <c r="C935" s="10" t="s">
        <v>1181</v>
      </c>
      <c r="D935" s="10" t="s">
        <v>1851</v>
      </c>
      <c r="E935" s="11" t="n">
        <v>3210</v>
      </c>
      <c r="F935" s="11" t="n">
        <v>1999</v>
      </c>
      <c r="G935" s="12" t="n">
        <v>0.38</v>
      </c>
      <c r="H935" s="13" t="n">
        <v>4.2</v>
      </c>
      <c r="I935" s="11" t="n">
        <v>41349</v>
      </c>
      <c r="J935" s="11" t="n">
        <f aca="false">E935-F935</f>
        <v>1211</v>
      </c>
      <c r="K935" s="10" t="str">
        <f aca="false">IF(G935&lt;0.2,"0-19%",IF(G935&lt;0.4,"20-39%",IF(G935&lt;0.6,"40-59%",IF(G935&lt;0.8,"60-79%","80%+"))))</f>
        <v>20-39%</v>
      </c>
      <c r="L935" s="10" t="str">
        <f aca="false">IF(H935="","No rating",IF(H935&lt;3.5,"Below 3.5",IF(H935&lt;4,"3.5-3.9",IF(H935&lt;4.5,"4.0-4.4","4.5+"))))</f>
        <v>4.0-4.4</v>
      </c>
    </row>
    <row r="936" customFormat="false" ht="15" hidden="false" customHeight="false" outlineLevel="0" collapsed="false">
      <c r="A936" s="10" t="s">
        <v>1904</v>
      </c>
      <c r="B936" s="10" t="s">
        <v>1905</v>
      </c>
      <c r="C936" s="10" t="s">
        <v>1181</v>
      </c>
      <c r="D936" s="10" t="s">
        <v>1851</v>
      </c>
      <c r="E936" s="11" t="n">
        <v>1000</v>
      </c>
      <c r="F936" s="11" t="n">
        <v>549</v>
      </c>
      <c r="G936" s="12" t="n">
        <v>0.45</v>
      </c>
      <c r="H936" s="13" t="n">
        <v>3.6</v>
      </c>
      <c r="I936" s="11" t="n">
        <v>1074</v>
      </c>
      <c r="J936" s="11" t="n">
        <f aca="false">E936-F936</f>
        <v>451</v>
      </c>
      <c r="K936" s="10" t="str">
        <f aca="false">IF(G936&lt;0.2,"0-19%",IF(G936&lt;0.4,"20-39%",IF(G936&lt;0.6,"40-59%",IF(G936&lt;0.8,"60-79%","80%+"))))</f>
        <v>40-59%</v>
      </c>
      <c r="L936" s="10" t="str">
        <f aca="false">IF(H936="","No rating",IF(H936&lt;3.5,"Below 3.5",IF(H936&lt;4,"3.5-3.9",IF(H936&lt;4.5,"4.0-4.4","4.5+"))))</f>
        <v>3.5-3.9</v>
      </c>
    </row>
    <row r="937" customFormat="false" ht="15" hidden="false" customHeight="false" outlineLevel="0" collapsed="false">
      <c r="A937" s="10" t="s">
        <v>1906</v>
      </c>
      <c r="B937" s="10" t="s">
        <v>1907</v>
      </c>
      <c r="C937" s="10" t="s">
        <v>1181</v>
      </c>
      <c r="D937" s="10" t="s">
        <v>1854</v>
      </c>
      <c r="E937" s="11" t="n">
        <v>2000</v>
      </c>
      <c r="F937" s="11" t="n">
        <v>999</v>
      </c>
      <c r="G937" s="12" t="n">
        <v>0.5</v>
      </c>
      <c r="H937" s="13" t="n">
        <v>3.8</v>
      </c>
      <c r="I937" s="11" t="n">
        <v>1163</v>
      </c>
      <c r="J937" s="11" t="n">
        <f aca="false">E937-F937</f>
        <v>1001</v>
      </c>
      <c r="K937" s="10" t="str">
        <f aca="false">IF(G937&lt;0.2,"0-19%",IF(G937&lt;0.4,"20-39%",IF(G937&lt;0.6,"40-59%",IF(G937&lt;0.8,"60-79%","80%+"))))</f>
        <v>40-59%</v>
      </c>
      <c r="L937" s="10" t="str">
        <f aca="false">IF(H937="","No rating",IF(H937&lt;3.5,"Below 3.5",IF(H937&lt;4,"3.5-3.9",IF(H937&lt;4.5,"4.0-4.4","4.5+"))))</f>
        <v>3.5-3.9</v>
      </c>
    </row>
    <row r="938" customFormat="false" ht="15" hidden="false" customHeight="false" outlineLevel="0" collapsed="false">
      <c r="A938" s="10" t="s">
        <v>1908</v>
      </c>
      <c r="B938" s="10" t="s">
        <v>1909</v>
      </c>
      <c r="C938" s="10" t="s">
        <v>1181</v>
      </c>
      <c r="D938" s="10" t="s">
        <v>1851</v>
      </c>
      <c r="E938" s="11" t="n">
        <v>1999</v>
      </c>
      <c r="F938" s="11" t="n">
        <v>398</v>
      </c>
      <c r="G938" s="12" t="n">
        <v>0.8</v>
      </c>
      <c r="H938" s="13" t="n">
        <v>4.1</v>
      </c>
      <c r="I938" s="11" t="n">
        <v>257</v>
      </c>
      <c r="J938" s="11" t="n">
        <f aca="false">E938-F938</f>
        <v>1601</v>
      </c>
      <c r="K938" s="10" t="str">
        <f aca="false">IF(G938&lt;0.2,"0-19%",IF(G938&lt;0.4,"20-39%",IF(G938&lt;0.6,"40-59%",IF(G938&lt;0.8,"60-79%","80%+"))))</f>
        <v>80%+</v>
      </c>
      <c r="L938" s="10" t="str">
        <f aca="false">IF(H938="","No rating",IF(H938&lt;3.5,"Below 3.5",IF(H938&lt;4,"3.5-3.9",IF(H938&lt;4.5,"4.0-4.4","4.5+"))))</f>
        <v>4.0-4.4</v>
      </c>
    </row>
    <row r="939" customFormat="false" ht="15" hidden="false" customHeight="false" outlineLevel="0" collapsed="false">
      <c r="A939" s="10" t="s">
        <v>1910</v>
      </c>
      <c r="B939" s="10" t="s">
        <v>1911</v>
      </c>
      <c r="C939" s="10" t="s">
        <v>1181</v>
      </c>
      <c r="D939" s="10" t="s">
        <v>1854</v>
      </c>
      <c r="E939" s="11" t="n">
        <v>720</v>
      </c>
      <c r="F939" s="11" t="n">
        <v>539</v>
      </c>
      <c r="G939" s="12" t="n">
        <v>0.25</v>
      </c>
      <c r="H939" s="13" t="n">
        <v>4.1</v>
      </c>
      <c r="I939" s="11" t="n">
        <v>36017</v>
      </c>
      <c r="J939" s="11" t="n">
        <f aca="false">E939-F939</f>
        <v>181</v>
      </c>
      <c r="K939" s="10" t="str">
        <f aca="false">IF(G939&lt;0.2,"0-19%",IF(G939&lt;0.4,"20-39%",IF(G939&lt;0.6,"40-59%",IF(G939&lt;0.8,"60-79%","80%+"))))</f>
        <v>20-39%</v>
      </c>
      <c r="L939" s="10" t="str">
        <f aca="false">IF(H939="","No rating",IF(H939&lt;3.5,"Below 3.5",IF(H939&lt;4,"3.5-3.9",IF(H939&lt;4.5,"4.0-4.4","4.5+"))))</f>
        <v>4.0-4.4</v>
      </c>
    </row>
    <row r="940" customFormat="false" ht="15" hidden="false" customHeight="false" outlineLevel="0" collapsed="false">
      <c r="A940" s="10" t="s">
        <v>1912</v>
      </c>
      <c r="B940" s="10" t="s">
        <v>1913</v>
      </c>
      <c r="C940" s="10" t="s">
        <v>1181</v>
      </c>
      <c r="D940" s="10" t="s">
        <v>1851</v>
      </c>
      <c r="E940" s="11" t="n">
        <v>1595</v>
      </c>
      <c r="F940" s="11" t="n">
        <v>699</v>
      </c>
      <c r="G940" s="12" t="n">
        <v>0.56</v>
      </c>
      <c r="H940" s="13" t="n">
        <v>4.1</v>
      </c>
      <c r="I940" s="11" t="n">
        <v>8090</v>
      </c>
      <c r="J940" s="11" t="n">
        <f aca="false">E940-F940</f>
        <v>896</v>
      </c>
      <c r="K940" s="10" t="str">
        <f aca="false">IF(G940&lt;0.2,"0-19%",IF(G940&lt;0.4,"20-39%",IF(G940&lt;0.6,"40-59%",IF(G940&lt;0.8,"60-79%","80%+"))))</f>
        <v>40-59%</v>
      </c>
      <c r="L940" s="10" t="str">
        <f aca="false">IF(H940="","No rating",IF(H940&lt;3.5,"Below 3.5",IF(H940&lt;4,"3.5-3.9",IF(H940&lt;4.5,"4.0-4.4","4.5+"))))</f>
        <v>4.0-4.4</v>
      </c>
    </row>
    <row r="941" customFormat="false" ht="15" hidden="false" customHeight="false" outlineLevel="0" collapsed="false">
      <c r="A941" s="10" t="s">
        <v>1914</v>
      </c>
      <c r="B941" s="10" t="s">
        <v>1915</v>
      </c>
      <c r="C941" s="10" t="s">
        <v>1181</v>
      </c>
      <c r="D941" s="10" t="s">
        <v>1851</v>
      </c>
      <c r="E941" s="11" t="n">
        <v>3645</v>
      </c>
      <c r="F941" s="11" t="n">
        <v>2148</v>
      </c>
      <c r="G941" s="12" t="n">
        <v>0.41</v>
      </c>
      <c r="H941" s="13" t="n">
        <v>4.1</v>
      </c>
      <c r="I941" s="11" t="n">
        <v>31388</v>
      </c>
      <c r="J941" s="11" t="n">
        <f aca="false">E941-F941</f>
        <v>1497</v>
      </c>
      <c r="K941" s="10" t="str">
        <f aca="false">IF(G941&lt;0.2,"0-19%",IF(G941&lt;0.4,"20-39%",IF(G941&lt;0.6,"40-59%",IF(G941&lt;0.8,"60-79%","80%+"))))</f>
        <v>40-59%</v>
      </c>
      <c r="L941" s="10" t="str">
        <f aca="false">IF(H941="","No rating",IF(H941&lt;3.5,"Below 3.5",IF(H941&lt;4,"3.5-3.9",IF(H941&lt;4.5,"4.0-4.4","4.5+"))))</f>
        <v>4.0-4.4</v>
      </c>
    </row>
    <row r="942" customFormat="false" ht="15" hidden="false" customHeight="false" outlineLevel="0" collapsed="false">
      <c r="A942" s="10" t="s">
        <v>1916</v>
      </c>
      <c r="B942" s="10" t="s">
        <v>1917</v>
      </c>
      <c r="C942" s="10" t="s">
        <v>1181</v>
      </c>
      <c r="D942" s="10" t="s">
        <v>1851</v>
      </c>
      <c r="E942" s="11" t="n">
        <v>7950</v>
      </c>
      <c r="F942" s="11" t="n">
        <v>3599</v>
      </c>
      <c r="G942" s="12" t="n">
        <v>0.55</v>
      </c>
      <c r="H942" s="13" t="n">
        <v>4.2</v>
      </c>
      <c r="I942" s="11" t="n">
        <v>136</v>
      </c>
      <c r="J942" s="11" t="n">
        <f aca="false">E942-F942</f>
        <v>4351</v>
      </c>
      <c r="K942" s="10" t="str">
        <f aca="false">IF(G942&lt;0.2,"0-19%",IF(G942&lt;0.4,"20-39%",IF(G942&lt;0.6,"40-59%",IF(G942&lt;0.8,"60-79%","80%+"))))</f>
        <v>40-59%</v>
      </c>
      <c r="L942" s="10" t="str">
        <f aca="false">IF(H942="","No rating",IF(H942&lt;3.5,"Below 3.5",IF(H942&lt;4,"3.5-3.9",IF(H942&lt;4.5,"4.0-4.4","4.5+"))))</f>
        <v>4.0-4.4</v>
      </c>
    </row>
    <row r="943" customFormat="false" ht="15" hidden="false" customHeight="false" outlineLevel="0" collapsed="false">
      <c r="A943" s="10" t="s">
        <v>1918</v>
      </c>
      <c r="B943" s="10" t="s">
        <v>1919</v>
      </c>
      <c r="C943" s="10" t="s">
        <v>1181</v>
      </c>
      <c r="D943" s="10" t="s">
        <v>1920</v>
      </c>
      <c r="E943" s="11" t="n">
        <v>999</v>
      </c>
      <c r="F943" s="11" t="n">
        <v>351</v>
      </c>
      <c r="G943" s="12" t="n">
        <v>0.65</v>
      </c>
      <c r="H943" s="13" t="n">
        <v>4</v>
      </c>
      <c r="I943" s="11" t="n">
        <v>5380</v>
      </c>
      <c r="J943" s="11" t="n">
        <f aca="false">E943-F943</f>
        <v>648</v>
      </c>
      <c r="K943" s="10" t="str">
        <f aca="false">IF(G943&lt;0.2,"0-19%",IF(G943&lt;0.4,"20-39%",IF(G943&lt;0.6,"40-59%",IF(G943&lt;0.8,"60-79%","80%+"))))</f>
        <v>60-79%</v>
      </c>
      <c r="L943" s="10" t="str">
        <f aca="false">IF(H943="","No rating",IF(H943&lt;3.5,"Below 3.5",IF(H943&lt;4,"3.5-3.9",IF(H943&lt;4.5,"4.0-4.4","4.5+"))))</f>
        <v>4.0-4.4</v>
      </c>
    </row>
    <row r="944" customFormat="false" ht="15" hidden="false" customHeight="false" outlineLevel="0" collapsed="false">
      <c r="A944" s="10" t="s">
        <v>1921</v>
      </c>
      <c r="B944" s="10" t="s">
        <v>1922</v>
      </c>
      <c r="C944" s="10" t="s">
        <v>1181</v>
      </c>
      <c r="D944" s="10" t="s">
        <v>1851</v>
      </c>
      <c r="E944" s="11" t="n">
        <v>1745</v>
      </c>
      <c r="F944" s="11" t="n">
        <v>1614</v>
      </c>
      <c r="G944" s="12" t="n">
        <v>0.08</v>
      </c>
      <c r="H944" s="13" t="n">
        <v>4.3</v>
      </c>
      <c r="I944" s="11" t="n">
        <v>37974</v>
      </c>
      <c r="J944" s="11" t="n">
        <f aca="false">E944-F944</f>
        <v>131</v>
      </c>
      <c r="K944" s="10" t="str">
        <f aca="false">IF(G944&lt;0.2,"0-19%",IF(G944&lt;0.4,"20-39%",IF(G944&lt;0.6,"40-59%",IF(G944&lt;0.8,"60-79%","80%+"))))</f>
        <v>0-19%</v>
      </c>
      <c r="L944" s="10" t="str">
        <f aca="false">IF(H944="","No rating",IF(H944&lt;3.5,"Below 3.5",IF(H944&lt;4,"3.5-3.9",IF(H944&lt;4.5,"4.0-4.4","4.5+"))))</f>
        <v>4.0-4.4</v>
      </c>
    </row>
    <row r="945" customFormat="false" ht="15" hidden="false" customHeight="false" outlineLevel="0" collapsed="false">
      <c r="A945" s="10" t="s">
        <v>1923</v>
      </c>
      <c r="B945" s="10" t="s">
        <v>1924</v>
      </c>
      <c r="C945" s="10" t="s">
        <v>1181</v>
      </c>
      <c r="D945" s="10" t="s">
        <v>1854</v>
      </c>
      <c r="E945" s="11" t="n">
        <v>1295</v>
      </c>
      <c r="F945" s="11" t="n">
        <v>719</v>
      </c>
      <c r="G945" s="12" t="n">
        <v>0.44</v>
      </c>
      <c r="H945" s="13" t="n">
        <v>4.2</v>
      </c>
      <c r="I945" s="11" t="n">
        <v>17218</v>
      </c>
      <c r="J945" s="11" t="n">
        <f aca="false">E945-F945</f>
        <v>576</v>
      </c>
      <c r="K945" s="10" t="str">
        <f aca="false">IF(G945&lt;0.2,"0-19%",IF(G945&lt;0.4,"20-39%",IF(G945&lt;0.6,"40-59%",IF(G945&lt;0.8,"60-79%","80%+"))))</f>
        <v>40-59%</v>
      </c>
      <c r="L945" s="10" t="str">
        <f aca="false">IF(H945="","No rating",IF(H945&lt;3.5,"Below 3.5",IF(H945&lt;4,"3.5-3.9",IF(H945&lt;4.5,"4.0-4.4","4.5+"))))</f>
        <v>4.0-4.4</v>
      </c>
    </row>
    <row r="946" customFormat="false" ht="15" hidden="false" customHeight="false" outlineLevel="0" collapsed="false">
      <c r="A946" s="10" t="s">
        <v>1925</v>
      </c>
      <c r="B946" s="10" t="s">
        <v>1926</v>
      </c>
      <c r="C946" s="10" t="s">
        <v>1181</v>
      </c>
      <c r="D946" s="10" t="s">
        <v>1851</v>
      </c>
      <c r="E946" s="11" t="n">
        <v>1499</v>
      </c>
      <c r="F946" s="11" t="n">
        <v>678</v>
      </c>
      <c r="G946" s="12" t="n">
        <v>0.55</v>
      </c>
      <c r="H946" s="13" t="n">
        <v>4.2</v>
      </c>
      <c r="I946" s="11" t="n">
        <v>900</v>
      </c>
      <c r="J946" s="11" t="n">
        <f aca="false">E946-F946</f>
        <v>821</v>
      </c>
      <c r="K946" s="10" t="str">
        <f aca="false">IF(G946&lt;0.2,"0-19%",IF(G946&lt;0.4,"20-39%",IF(G946&lt;0.6,"40-59%",IF(G946&lt;0.8,"60-79%","80%+"))))</f>
        <v>40-59%</v>
      </c>
      <c r="L946" s="10" t="str">
        <f aca="false">IF(H946="","No rating",IF(H946&lt;3.5,"Below 3.5",IF(H946&lt;4,"3.5-3.9",IF(H946&lt;4.5,"4.0-4.4","4.5+"))))</f>
        <v>4.0-4.4</v>
      </c>
    </row>
    <row r="947" customFormat="false" ht="15" hidden="false" customHeight="false" outlineLevel="0" collapsed="false">
      <c r="A947" s="10" t="s">
        <v>1927</v>
      </c>
      <c r="B947" s="10" t="s">
        <v>1928</v>
      </c>
      <c r="C947" s="10" t="s">
        <v>1181</v>
      </c>
      <c r="D947" s="10" t="s">
        <v>1851</v>
      </c>
      <c r="E947" s="11" t="n">
        <v>1545</v>
      </c>
      <c r="F947" s="11" t="n">
        <v>809</v>
      </c>
      <c r="G947" s="12" t="n">
        <v>0.48</v>
      </c>
      <c r="H947" s="13" t="n">
        <v>3.7</v>
      </c>
      <c r="I947" s="11" t="n">
        <v>976</v>
      </c>
      <c r="J947" s="11" t="n">
        <f aca="false">E947-F947</f>
        <v>736</v>
      </c>
      <c r="K947" s="10" t="str">
        <f aca="false">IF(G947&lt;0.2,"0-19%",IF(G947&lt;0.4,"20-39%",IF(G947&lt;0.6,"40-59%",IF(G947&lt;0.8,"60-79%","80%+"))))</f>
        <v>40-59%</v>
      </c>
      <c r="L947" s="10" t="str">
        <f aca="false">IF(H947="","No rating",IF(H947&lt;3.5,"Below 3.5",IF(H947&lt;4,"3.5-3.9",IF(H947&lt;4.5,"4.0-4.4","4.5+"))))</f>
        <v>3.5-3.9</v>
      </c>
    </row>
    <row r="948" customFormat="false" ht="15" hidden="false" customHeight="false" outlineLevel="0" collapsed="false">
      <c r="A948" s="10" t="s">
        <v>1929</v>
      </c>
      <c r="B948" s="10" t="s">
        <v>1930</v>
      </c>
      <c r="C948" s="10" t="s">
        <v>1181</v>
      </c>
      <c r="D948" s="10" t="s">
        <v>1851</v>
      </c>
      <c r="E948" s="11" t="n">
        <v>5000</v>
      </c>
      <c r="F948" s="11" t="n">
        <v>1969</v>
      </c>
      <c r="G948" s="12" t="n">
        <v>0.61</v>
      </c>
      <c r="H948" s="13" t="n">
        <v>4.1</v>
      </c>
      <c r="I948" s="11" t="n">
        <v>4927</v>
      </c>
      <c r="J948" s="11" t="n">
        <f aca="false">E948-F948</f>
        <v>3031</v>
      </c>
      <c r="K948" s="10" t="str">
        <f aca="false">IF(G948&lt;0.2,"0-19%",IF(G948&lt;0.4,"20-39%",IF(G948&lt;0.6,"40-59%",IF(G948&lt;0.8,"60-79%","80%+"))))</f>
        <v>60-79%</v>
      </c>
      <c r="L948" s="10" t="str">
        <f aca="false">IF(H948="","No rating",IF(H948&lt;3.5,"Below 3.5",IF(H948&lt;4,"3.5-3.9",IF(H948&lt;4.5,"4.0-4.4","4.5+"))))</f>
        <v>4.0-4.4</v>
      </c>
    </row>
    <row r="949" customFormat="false" ht="15" hidden="false" customHeight="false" outlineLevel="0" collapsed="false">
      <c r="A949" s="10" t="s">
        <v>1931</v>
      </c>
      <c r="B949" s="10" t="s">
        <v>1932</v>
      </c>
      <c r="C949" s="10" t="s">
        <v>1181</v>
      </c>
      <c r="D949" s="10" t="s">
        <v>1851</v>
      </c>
      <c r="E949" s="11" t="n">
        <v>1695</v>
      </c>
      <c r="F949" s="11" t="n">
        <v>1490</v>
      </c>
      <c r="G949" s="12" t="n">
        <v>0.12</v>
      </c>
      <c r="H949" s="13" t="n">
        <v>4.4</v>
      </c>
      <c r="I949" s="11" t="n">
        <v>3543</v>
      </c>
      <c r="J949" s="11" t="n">
        <f aca="false">E949-F949</f>
        <v>205</v>
      </c>
      <c r="K949" s="10" t="str">
        <f aca="false">IF(G949&lt;0.2,"0-19%",IF(G949&lt;0.4,"20-39%",IF(G949&lt;0.6,"40-59%",IF(G949&lt;0.8,"60-79%","80%+"))))</f>
        <v>0-19%</v>
      </c>
      <c r="L949" s="10" t="str">
        <f aca="false">IF(H949="","No rating",IF(H949&lt;3.5,"Below 3.5",IF(H949&lt;4,"3.5-3.9",IF(H949&lt;4.5,"4.0-4.4","4.5+"))))</f>
        <v>4.0-4.4</v>
      </c>
    </row>
    <row r="950" customFormat="false" ht="15" hidden="false" customHeight="false" outlineLevel="0" collapsed="false">
      <c r="A950" s="10" t="s">
        <v>1933</v>
      </c>
      <c r="B950" s="10" t="s">
        <v>1934</v>
      </c>
      <c r="C950" s="10" t="s">
        <v>1181</v>
      </c>
      <c r="D950" s="10" t="s">
        <v>1854</v>
      </c>
      <c r="E950" s="11" t="n">
        <v>3945</v>
      </c>
      <c r="F950" s="11" t="n">
        <v>2499</v>
      </c>
      <c r="G950" s="12" t="n">
        <v>0.37</v>
      </c>
      <c r="H950" s="13" t="n">
        <v>3.8</v>
      </c>
      <c r="I950" s="11" t="n">
        <v>2732</v>
      </c>
      <c r="J950" s="11" t="n">
        <f aca="false">E950-F950</f>
        <v>1446</v>
      </c>
      <c r="K950" s="10" t="str">
        <f aca="false">IF(G950&lt;0.2,"0-19%",IF(G950&lt;0.4,"20-39%",IF(G950&lt;0.6,"40-59%",IF(G950&lt;0.8,"60-79%","80%+"))))</f>
        <v>20-39%</v>
      </c>
      <c r="L950" s="10" t="str">
        <f aca="false">IF(H950="","No rating",IF(H950&lt;3.5,"Below 3.5",IF(H950&lt;4,"3.5-3.9",IF(H950&lt;4.5,"4.0-4.4","4.5+"))))</f>
        <v>3.5-3.9</v>
      </c>
    </row>
    <row r="951" customFormat="false" ht="15" hidden="false" customHeight="false" outlineLevel="0" collapsed="false">
      <c r="A951" s="10" t="s">
        <v>1935</v>
      </c>
      <c r="B951" s="10" t="s">
        <v>1936</v>
      </c>
      <c r="C951" s="10" t="s">
        <v>1181</v>
      </c>
      <c r="D951" s="10" t="s">
        <v>1851</v>
      </c>
      <c r="E951" s="11" t="n">
        <v>2099</v>
      </c>
      <c r="F951" s="11" t="n">
        <v>1665</v>
      </c>
      <c r="G951" s="12" t="n">
        <v>0.21</v>
      </c>
      <c r="H951" s="13" t="n">
        <v>4</v>
      </c>
      <c r="I951" s="11" t="n">
        <v>14368</v>
      </c>
      <c r="J951" s="11" t="n">
        <f aca="false">E951-F951</f>
        <v>434</v>
      </c>
      <c r="K951" s="10" t="str">
        <f aca="false">IF(G951&lt;0.2,"0-19%",IF(G951&lt;0.4,"20-39%",IF(G951&lt;0.6,"40-59%",IF(G951&lt;0.8,"60-79%","80%+"))))</f>
        <v>20-39%</v>
      </c>
      <c r="L951" s="10" t="str">
        <f aca="false">IF(H951="","No rating",IF(H951&lt;3.5,"Below 3.5",IF(H951&lt;4,"3.5-3.9",IF(H951&lt;4.5,"4.0-4.4","4.5+"))))</f>
        <v>4.0-4.4</v>
      </c>
    </row>
    <row r="952" customFormat="false" ht="15" hidden="false" customHeight="false" outlineLevel="0" collapsed="false">
      <c r="A952" s="10" t="s">
        <v>1937</v>
      </c>
      <c r="B952" s="10" t="s">
        <v>1938</v>
      </c>
      <c r="C952" s="10" t="s">
        <v>1181</v>
      </c>
      <c r="D952" s="10" t="s">
        <v>1851</v>
      </c>
      <c r="E952" s="11" t="n">
        <v>5295</v>
      </c>
      <c r="F952" s="11" t="n">
        <v>3229</v>
      </c>
      <c r="G952" s="12" t="n">
        <v>0.39</v>
      </c>
      <c r="H952" s="13" t="n">
        <v>4.2</v>
      </c>
      <c r="I952" s="11" t="n">
        <v>39724</v>
      </c>
      <c r="J952" s="11" t="n">
        <f aca="false">E952-F952</f>
        <v>2066</v>
      </c>
      <c r="K952" s="10" t="str">
        <f aca="false">IF(G952&lt;0.2,"0-19%",IF(G952&lt;0.4,"20-39%",IF(G952&lt;0.6,"40-59%",IF(G952&lt;0.8,"60-79%","80%+"))))</f>
        <v>20-39%</v>
      </c>
      <c r="L952" s="10" t="str">
        <f aca="false">IF(H952="","No rating",IF(H952&lt;3.5,"Below 3.5",IF(H952&lt;4,"3.5-3.9",IF(H952&lt;4.5,"4.0-4.4","4.5+"))))</f>
        <v>4.0-4.4</v>
      </c>
    </row>
    <row r="953" customFormat="false" ht="15" hidden="false" customHeight="false" outlineLevel="0" collapsed="false">
      <c r="A953" s="10" t="s">
        <v>1939</v>
      </c>
      <c r="B953" s="10" t="s">
        <v>1940</v>
      </c>
      <c r="C953" s="10" t="s">
        <v>1181</v>
      </c>
      <c r="D953" s="10" t="s">
        <v>1851</v>
      </c>
      <c r="E953" s="11" t="n">
        <v>3595</v>
      </c>
      <c r="F953" s="11" t="n">
        <v>1799</v>
      </c>
      <c r="G953" s="12" t="n">
        <v>0.5</v>
      </c>
      <c r="H953" s="13" t="n">
        <v>3.8</v>
      </c>
      <c r="I953" s="11" t="n">
        <v>9791</v>
      </c>
      <c r="J953" s="11" t="n">
        <f aca="false">E953-F953</f>
        <v>1796</v>
      </c>
      <c r="K953" s="10" t="str">
        <f aca="false">IF(G953&lt;0.2,"0-19%",IF(G953&lt;0.4,"20-39%",IF(G953&lt;0.6,"40-59%",IF(G953&lt;0.8,"60-79%","80%+"))))</f>
        <v>40-59%</v>
      </c>
      <c r="L953" s="10" t="str">
        <f aca="false">IF(H953="","No rating",IF(H953&lt;3.5,"Below 3.5",IF(H953&lt;4,"3.5-3.9",IF(H953&lt;4.5,"4.0-4.4","4.5+"))))</f>
        <v>3.5-3.9</v>
      </c>
    </row>
    <row r="954" customFormat="false" ht="15" hidden="false" customHeight="false" outlineLevel="0" collapsed="false">
      <c r="A954" s="10" t="s">
        <v>1941</v>
      </c>
      <c r="B954" s="10" t="s">
        <v>1942</v>
      </c>
      <c r="C954" s="10" t="s">
        <v>1181</v>
      </c>
      <c r="D954" s="10" t="s">
        <v>1851</v>
      </c>
      <c r="E954" s="11" t="n">
        <v>1699</v>
      </c>
      <c r="F954" s="11" t="n">
        <v>1260</v>
      </c>
      <c r="G954" s="12" t="n">
        <v>0.26</v>
      </c>
      <c r="H954" s="13" t="n">
        <v>4.2</v>
      </c>
      <c r="I954" s="11" t="n">
        <v>2891</v>
      </c>
      <c r="J954" s="11" t="n">
        <f aca="false">E954-F954</f>
        <v>439</v>
      </c>
      <c r="K954" s="10" t="str">
        <f aca="false">IF(G954&lt;0.2,"0-19%",IF(G954&lt;0.4,"20-39%",IF(G954&lt;0.6,"40-59%",IF(G954&lt;0.8,"60-79%","80%+"))))</f>
        <v>20-39%</v>
      </c>
      <c r="L954" s="10" t="str">
        <f aca="false">IF(H954="","No rating",IF(H954&lt;3.5,"Below 3.5",IF(H954&lt;4,"3.5-3.9",IF(H954&lt;4.5,"4.0-4.4","4.5+"))))</f>
        <v>4.0-4.4</v>
      </c>
    </row>
    <row r="955" customFormat="false" ht="15" hidden="false" customHeight="false" outlineLevel="0" collapsed="false">
      <c r="A955" s="10" t="s">
        <v>1943</v>
      </c>
      <c r="B955" s="10" t="s">
        <v>1944</v>
      </c>
      <c r="C955" s="10" t="s">
        <v>1181</v>
      </c>
      <c r="D955" s="10" t="s">
        <v>1854</v>
      </c>
      <c r="E955" s="11" t="n">
        <v>1129</v>
      </c>
      <c r="F955" s="11" t="n">
        <v>749</v>
      </c>
      <c r="G955" s="12" t="n">
        <v>0.34</v>
      </c>
      <c r="H955" s="13" t="n">
        <v>4</v>
      </c>
      <c r="I955" s="11" t="n">
        <v>2446</v>
      </c>
      <c r="J955" s="11" t="n">
        <f aca="false">E955-F955</f>
        <v>380</v>
      </c>
      <c r="K955" s="10" t="str">
        <f aca="false">IF(G955&lt;0.2,"0-19%",IF(G955&lt;0.4,"20-39%",IF(G955&lt;0.6,"40-59%",IF(G955&lt;0.8,"60-79%","80%+"))))</f>
        <v>20-39%</v>
      </c>
      <c r="L955" s="10" t="str">
        <f aca="false">IF(H955="","No rating",IF(H955&lt;3.5,"Below 3.5",IF(H955&lt;4,"3.5-3.9",IF(H955&lt;4.5,"4.0-4.4","4.5+"))))</f>
        <v>4.0-4.4</v>
      </c>
    </row>
    <row r="956" customFormat="false" ht="15" hidden="false" customHeight="false" outlineLevel="0" collapsed="false">
      <c r="A956" s="10" t="s">
        <v>1945</v>
      </c>
      <c r="B956" s="10" t="s">
        <v>1946</v>
      </c>
      <c r="C956" s="10" t="s">
        <v>1181</v>
      </c>
      <c r="D956" s="10" t="s">
        <v>1851</v>
      </c>
      <c r="E956" s="11" t="n">
        <v>5795</v>
      </c>
      <c r="F956" s="11" t="n">
        <v>3499</v>
      </c>
      <c r="G956" s="12" t="n">
        <v>0.4</v>
      </c>
      <c r="H956" s="13" t="n">
        <v>3.9</v>
      </c>
      <c r="I956" s="11" t="n">
        <v>25340</v>
      </c>
      <c r="J956" s="11" t="n">
        <f aca="false">E956-F956</f>
        <v>2296</v>
      </c>
      <c r="K956" s="10" t="str">
        <f aca="false">IF(G956&lt;0.2,"0-19%",IF(G956&lt;0.4,"20-39%",IF(G956&lt;0.6,"40-59%",IF(G956&lt;0.8,"60-79%","80%+"))))</f>
        <v>40-59%</v>
      </c>
      <c r="L956" s="10" t="str">
        <f aca="false">IF(H956="","No rating",IF(H956&lt;3.5,"Below 3.5",IF(H956&lt;4,"3.5-3.9",IF(H956&lt;4.5,"4.0-4.4","4.5+"))))</f>
        <v>3.5-3.9</v>
      </c>
    </row>
    <row r="957" customFormat="false" ht="15" hidden="false" customHeight="false" outlineLevel="0" collapsed="false">
      <c r="A957" s="10" t="s">
        <v>1947</v>
      </c>
      <c r="B957" s="10" t="s">
        <v>1948</v>
      </c>
      <c r="C957" s="10" t="s">
        <v>1181</v>
      </c>
      <c r="D957" s="10" t="s">
        <v>1851</v>
      </c>
      <c r="E957" s="11" t="n">
        <v>999</v>
      </c>
      <c r="F957" s="11" t="n">
        <v>379</v>
      </c>
      <c r="G957" s="12" t="n">
        <v>0.62</v>
      </c>
      <c r="H957" s="13" t="n">
        <v>4.3</v>
      </c>
      <c r="I957" s="11" t="n">
        <v>3096</v>
      </c>
      <c r="J957" s="11" t="n">
        <f aca="false">E957-F957</f>
        <v>620</v>
      </c>
      <c r="K957" s="10" t="str">
        <f aca="false">IF(G957&lt;0.2,"0-19%",IF(G957&lt;0.4,"20-39%",IF(G957&lt;0.6,"40-59%",IF(G957&lt;0.8,"60-79%","80%+"))))</f>
        <v>60-79%</v>
      </c>
      <c r="L957" s="10" t="str">
        <f aca="false">IF(H957="","No rating",IF(H957&lt;3.5,"Below 3.5",IF(H957&lt;4,"3.5-3.9",IF(H957&lt;4.5,"4.0-4.4","4.5+"))))</f>
        <v>4.0-4.4</v>
      </c>
    </row>
    <row r="958" customFormat="false" ht="15" hidden="false" customHeight="false" outlineLevel="0" collapsed="false">
      <c r="A958" s="10" t="s">
        <v>1949</v>
      </c>
      <c r="B958" s="10" t="s">
        <v>1950</v>
      </c>
      <c r="C958" s="10" t="s">
        <v>1181</v>
      </c>
      <c r="D958" s="10" t="s">
        <v>1854</v>
      </c>
      <c r="E958" s="11" t="n">
        <v>2400</v>
      </c>
      <c r="F958" s="11" t="n">
        <v>1099</v>
      </c>
      <c r="G958" s="12" t="n">
        <v>0.54</v>
      </c>
      <c r="H958" s="13" t="n">
        <v>3.8</v>
      </c>
      <c r="I958" s="11" t="n">
        <v>4</v>
      </c>
      <c r="J958" s="11" t="n">
        <f aca="false">E958-F958</f>
        <v>1301</v>
      </c>
      <c r="K958" s="10" t="str">
        <f aca="false">IF(G958&lt;0.2,"0-19%",IF(G958&lt;0.4,"20-39%",IF(G958&lt;0.6,"40-59%",IF(G958&lt;0.8,"60-79%","80%+"))))</f>
        <v>40-59%</v>
      </c>
      <c r="L958" s="10" t="str">
        <f aca="false">IF(H958="","No rating",IF(H958&lt;3.5,"Below 3.5",IF(H958&lt;4,"3.5-3.9",IF(H958&lt;4.5,"4.0-4.4","4.5+"))))</f>
        <v>3.5-3.9</v>
      </c>
    </row>
    <row r="959" customFormat="false" ht="15" hidden="false" customHeight="false" outlineLevel="0" collapsed="false">
      <c r="A959" s="10" t="s">
        <v>1951</v>
      </c>
      <c r="B959" s="10" t="s">
        <v>1952</v>
      </c>
      <c r="C959" s="10" t="s">
        <v>1181</v>
      </c>
      <c r="D959" s="10" t="s">
        <v>1851</v>
      </c>
      <c r="E959" s="11" t="n">
        <v>1299</v>
      </c>
      <c r="F959" s="11" t="n">
        <v>749</v>
      </c>
      <c r="G959" s="12" t="n">
        <v>0.42</v>
      </c>
      <c r="H959" s="13" t="n">
        <v>4</v>
      </c>
      <c r="I959" s="11" t="n">
        <v>119</v>
      </c>
      <c r="J959" s="11" t="n">
        <f aca="false">E959-F959</f>
        <v>550</v>
      </c>
      <c r="K959" s="10" t="str">
        <f aca="false">IF(G959&lt;0.2,"0-19%",IF(G959&lt;0.4,"20-39%",IF(G959&lt;0.6,"40-59%",IF(G959&lt;0.8,"60-79%","80%+"))))</f>
        <v>40-59%</v>
      </c>
      <c r="L959" s="10" t="str">
        <f aca="false">IF(H959="","No rating",IF(H959&lt;3.5,"Below 3.5",IF(H959&lt;4,"3.5-3.9",IF(H959&lt;4.5,"4.0-4.4","4.5+"))))</f>
        <v>4.0-4.4</v>
      </c>
    </row>
    <row r="960" customFormat="false" ht="15" hidden="false" customHeight="false" outlineLevel="0" collapsed="false">
      <c r="A960" s="10" t="s">
        <v>1953</v>
      </c>
      <c r="B960" s="10" t="s">
        <v>1954</v>
      </c>
      <c r="C960" s="10" t="s">
        <v>1181</v>
      </c>
      <c r="D960" s="10" t="s">
        <v>1851</v>
      </c>
      <c r="E960" s="11" t="n">
        <v>1299</v>
      </c>
      <c r="F960" s="11" t="n">
        <v>1299</v>
      </c>
      <c r="G960" s="12" t="n">
        <v>0</v>
      </c>
      <c r="H960" s="13" t="n">
        <v>4.2</v>
      </c>
      <c r="I960" s="11" t="n">
        <v>40106</v>
      </c>
      <c r="J960" s="11" t="n">
        <f aca="false">E960-F960</f>
        <v>0</v>
      </c>
      <c r="K960" s="10" t="str">
        <f aca="false">IF(G960&lt;0.2,"0-19%",IF(G960&lt;0.4,"20-39%",IF(G960&lt;0.6,"40-59%",IF(G960&lt;0.8,"60-79%","80%+"))))</f>
        <v>0-19%</v>
      </c>
      <c r="L960" s="10" t="str">
        <f aca="false">IF(H960="","No rating",IF(H960&lt;3.5,"Below 3.5",IF(H960&lt;4,"3.5-3.9",IF(H960&lt;4.5,"4.0-4.4","4.5+"))))</f>
        <v>4.0-4.4</v>
      </c>
    </row>
    <row r="961" customFormat="false" ht="15" hidden="false" customHeight="false" outlineLevel="0" collapsed="false">
      <c r="A961" s="10" t="s">
        <v>1955</v>
      </c>
      <c r="B961" s="10" t="s">
        <v>1956</v>
      </c>
      <c r="C961" s="10" t="s">
        <v>1181</v>
      </c>
      <c r="D961" s="10" t="s">
        <v>1851</v>
      </c>
      <c r="E961" s="11" t="n">
        <v>1090</v>
      </c>
      <c r="F961" s="11" t="n">
        <v>549</v>
      </c>
      <c r="G961" s="12" t="n">
        <v>0.5</v>
      </c>
      <c r="H961" s="13" t="n">
        <v>4.2</v>
      </c>
      <c r="I961" s="11" t="n">
        <v>13029</v>
      </c>
      <c r="J961" s="11" t="n">
        <f aca="false">E961-F961</f>
        <v>541</v>
      </c>
      <c r="K961" s="10" t="str">
        <f aca="false">IF(G961&lt;0.2,"0-19%",IF(G961&lt;0.4,"20-39%",IF(G961&lt;0.6,"40-59%",IF(G961&lt;0.8,"60-79%","80%+"))))</f>
        <v>40-59%</v>
      </c>
      <c r="L961" s="10" t="str">
        <f aca="false">IF(H961="","No rating",IF(H961&lt;3.5,"Below 3.5",IF(H961&lt;4,"3.5-3.9",IF(H961&lt;4.5,"4.0-4.4","4.5+"))))</f>
        <v>4.0-4.4</v>
      </c>
    </row>
    <row r="962" customFormat="false" ht="15" hidden="false" customHeight="false" outlineLevel="0" collapsed="false">
      <c r="A962" s="10" t="s">
        <v>1957</v>
      </c>
      <c r="B962" s="10" t="s">
        <v>1958</v>
      </c>
      <c r="C962" s="10" t="s">
        <v>1181</v>
      </c>
      <c r="D962" s="10" t="s">
        <v>1854</v>
      </c>
      <c r="E962" s="11" t="n">
        <v>2000</v>
      </c>
      <c r="F962" s="11" t="n">
        <v>899</v>
      </c>
      <c r="G962" s="12" t="n">
        <v>0.55</v>
      </c>
      <c r="H962" s="13" t="n">
        <v>3.6</v>
      </c>
      <c r="I962" s="11" t="n">
        <v>291</v>
      </c>
      <c r="J962" s="11" t="n">
        <f aca="false">E962-F962</f>
        <v>1101</v>
      </c>
      <c r="K962" s="10" t="str">
        <f aca="false">IF(G962&lt;0.2,"0-19%",IF(G962&lt;0.4,"20-39%",IF(G962&lt;0.6,"40-59%",IF(G962&lt;0.8,"60-79%","80%+"))))</f>
        <v>40-59%</v>
      </c>
      <c r="L962" s="10" t="str">
        <f aca="false">IF(H962="","No rating",IF(H962&lt;3.5,"Below 3.5",IF(H962&lt;4,"3.5-3.9",IF(H962&lt;4.5,"4.0-4.4","4.5+"))))</f>
        <v>3.5-3.9</v>
      </c>
    </row>
    <row r="963" customFormat="false" ht="15" hidden="false" customHeight="false" outlineLevel="0" collapsed="false">
      <c r="A963" s="10" t="s">
        <v>1959</v>
      </c>
      <c r="B963" s="10" t="s">
        <v>1960</v>
      </c>
      <c r="C963" s="10" t="s">
        <v>1181</v>
      </c>
      <c r="D963" s="10" t="s">
        <v>1851</v>
      </c>
      <c r="E963" s="11" t="n">
        <v>1545</v>
      </c>
      <c r="F963" s="11" t="n">
        <v>1321</v>
      </c>
      <c r="G963" s="12" t="n">
        <v>0.14</v>
      </c>
      <c r="H963" s="13" t="n">
        <v>4.3</v>
      </c>
      <c r="I963" s="11" t="n">
        <v>15453</v>
      </c>
      <c r="J963" s="11" t="n">
        <f aca="false">E963-F963</f>
        <v>224</v>
      </c>
      <c r="K963" s="10" t="str">
        <f aca="false">IF(G963&lt;0.2,"0-19%",IF(G963&lt;0.4,"20-39%",IF(G963&lt;0.6,"40-59%",IF(G963&lt;0.8,"60-79%","80%+"))))</f>
        <v>0-19%</v>
      </c>
      <c r="L963" s="10" t="str">
        <f aca="false">IF(H963="","No rating",IF(H963&lt;3.5,"Below 3.5",IF(H963&lt;4,"3.5-3.9",IF(H963&lt;4.5,"4.0-4.4","4.5+"))))</f>
        <v>4.0-4.4</v>
      </c>
    </row>
    <row r="964" customFormat="false" ht="15" hidden="false" customHeight="false" outlineLevel="0" collapsed="false">
      <c r="A964" s="10" t="s">
        <v>1961</v>
      </c>
      <c r="B964" s="10" t="s">
        <v>1962</v>
      </c>
      <c r="C964" s="10" t="s">
        <v>1181</v>
      </c>
      <c r="D964" s="10" t="s">
        <v>1851</v>
      </c>
      <c r="E964" s="11" t="n">
        <v>1999</v>
      </c>
      <c r="F964" s="11" t="n">
        <v>1099</v>
      </c>
      <c r="G964" s="12" t="n">
        <v>0.45</v>
      </c>
      <c r="H964" s="13" t="n">
        <v>4</v>
      </c>
      <c r="I964" s="11" t="n">
        <v>604</v>
      </c>
      <c r="J964" s="11" t="n">
        <f aca="false">E964-F964</f>
        <v>900</v>
      </c>
      <c r="K964" s="10" t="str">
        <f aca="false">IF(G964&lt;0.2,"0-19%",IF(G964&lt;0.4,"20-39%",IF(G964&lt;0.6,"40-59%",IF(G964&lt;0.8,"60-79%","80%+"))))</f>
        <v>40-59%</v>
      </c>
      <c r="L964" s="10" t="str">
        <f aca="false">IF(H964="","No rating",IF(H964&lt;3.5,"Below 3.5",IF(H964&lt;4,"3.5-3.9",IF(H964&lt;4.5,"4.0-4.4","4.5+"))))</f>
        <v>4.0-4.4</v>
      </c>
    </row>
    <row r="965" customFormat="false" ht="15" hidden="false" customHeight="false" outlineLevel="0" collapsed="false">
      <c r="A965" s="10" t="s">
        <v>1963</v>
      </c>
      <c r="B965" s="10" t="s">
        <v>1964</v>
      </c>
      <c r="C965" s="10" t="s">
        <v>1181</v>
      </c>
      <c r="D965" s="10" t="s">
        <v>1851</v>
      </c>
      <c r="E965" s="11" t="n">
        <v>875</v>
      </c>
      <c r="F965" s="11" t="n">
        <v>775</v>
      </c>
      <c r="G965" s="12" t="n">
        <v>0.11</v>
      </c>
      <c r="H965" s="13" t="n">
        <v>4.2</v>
      </c>
      <c r="I965" s="11" t="n">
        <v>46647</v>
      </c>
      <c r="J965" s="11" t="n">
        <f aca="false">E965-F965</f>
        <v>100</v>
      </c>
      <c r="K965" s="10" t="str">
        <f aca="false">IF(G965&lt;0.2,"0-19%",IF(G965&lt;0.4,"20-39%",IF(G965&lt;0.6,"40-59%",IF(G965&lt;0.8,"60-79%","80%+"))))</f>
        <v>0-19%</v>
      </c>
      <c r="L965" s="10" t="str">
        <f aca="false">IF(H965="","No rating",IF(H965&lt;3.5,"Below 3.5",IF(H965&lt;4,"3.5-3.9",IF(H965&lt;4.5,"4.0-4.4","4.5+"))))</f>
        <v>4.0-4.4</v>
      </c>
    </row>
    <row r="966" customFormat="false" ht="15" hidden="false" customHeight="false" outlineLevel="0" collapsed="false">
      <c r="A966" s="10" t="s">
        <v>1965</v>
      </c>
      <c r="B966" s="10" t="s">
        <v>1966</v>
      </c>
      <c r="C966" s="10" t="s">
        <v>1181</v>
      </c>
      <c r="D966" s="10" t="s">
        <v>1854</v>
      </c>
      <c r="E966" s="11" t="n">
        <v>15270</v>
      </c>
      <c r="F966" s="11" t="n">
        <v>6299</v>
      </c>
      <c r="G966" s="12" t="n">
        <v>0.59</v>
      </c>
      <c r="H966" s="13" t="n">
        <v>4.1</v>
      </c>
      <c r="I966" s="11" t="n">
        <v>3233</v>
      </c>
      <c r="J966" s="11" t="n">
        <f aca="false">E966-F966</f>
        <v>8971</v>
      </c>
      <c r="K966" s="10" t="str">
        <f aca="false">IF(G966&lt;0.2,"0-19%",IF(G966&lt;0.4,"20-39%",IF(G966&lt;0.6,"40-59%",IF(G966&lt;0.8,"60-79%","80%+"))))</f>
        <v>40-59%</v>
      </c>
      <c r="L966" s="10" t="str">
        <f aca="false">IF(H966="","No rating",IF(H966&lt;3.5,"Below 3.5",IF(H966&lt;4,"3.5-3.9",IF(H966&lt;4.5,"4.0-4.4","4.5+"))))</f>
        <v>4.0-4.4</v>
      </c>
    </row>
    <row r="967" customFormat="false" ht="15" hidden="false" customHeight="false" outlineLevel="0" collapsed="false">
      <c r="A967" s="10" t="s">
        <v>1967</v>
      </c>
      <c r="B967" s="10" t="s">
        <v>1968</v>
      </c>
      <c r="C967" s="10" t="s">
        <v>1181</v>
      </c>
      <c r="D967" s="10" t="s">
        <v>1851</v>
      </c>
      <c r="E967" s="11" t="n">
        <v>4195</v>
      </c>
      <c r="F967" s="11" t="n">
        <v>3190</v>
      </c>
      <c r="G967" s="12" t="n">
        <v>0.24</v>
      </c>
      <c r="H967" s="13" t="n">
        <v>4</v>
      </c>
      <c r="I967" s="11" t="n">
        <v>1282</v>
      </c>
      <c r="J967" s="11" t="n">
        <f aca="false">E967-F967</f>
        <v>1005</v>
      </c>
      <c r="K967" s="10" t="str">
        <f aca="false">IF(G967&lt;0.2,"0-19%",IF(G967&lt;0.4,"20-39%",IF(G967&lt;0.6,"40-59%",IF(G967&lt;0.8,"60-79%","80%+"))))</f>
        <v>20-39%</v>
      </c>
      <c r="L967" s="10" t="str">
        <f aca="false">IF(H967="","No rating",IF(H967&lt;3.5,"Below 3.5",IF(H967&lt;4,"3.5-3.9",IF(H967&lt;4.5,"4.0-4.4","4.5+"))))</f>
        <v>4.0-4.4</v>
      </c>
    </row>
    <row r="968" customFormat="false" ht="15" hidden="false" customHeight="false" outlineLevel="0" collapsed="false">
      <c r="A968" s="10" t="s">
        <v>1969</v>
      </c>
      <c r="B968" s="10" t="s">
        <v>1970</v>
      </c>
      <c r="C968" s="10" t="s">
        <v>1181</v>
      </c>
      <c r="D968" s="10" t="s">
        <v>1854</v>
      </c>
      <c r="E968" s="11" t="n">
        <v>1989</v>
      </c>
      <c r="F968" s="11" t="n">
        <v>799</v>
      </c>
      <c r="G968" s="12" t="n">
        <v>0.6</v>
      </c>
      <c r="H968" s="13" t="n">
        <v>4.3</v>
      </c>
      <c r="I968" s="11" t="n">
        <v>70</v>
      </c>
      <c r="J968" s="11" t="n">
        <f aca="false">E968-F968</f>
        <v>1190</v>
      </c>
      <c r="K968" s="10" t="str">
        <f aca="false">IF(G968&lt;0.2,"0-19%",IF(G968&lt;0.4,"20-39%",IF(G968&lt;0.6,"40-59%",IF(G968&lt;0.8,"60-79%","80%+"))))</f>
        <v>60-79%</v>
      </c>
      <c r="L968" s="10" t="str">
        <f aca="false">IF(H968="","No rating",IF(H968&lt;3.5,"Below 3.5",IF(H968&lt;4,"3.5-3.9",IF(H968&lt;4.5,"4.0-4.4","4.5+"))))</f>
        <v>4.0-4.4</v>
      </c>
    </row>
    <row r="969" customFormat="false" ht="15" hidden="false" customHeight="false" outlineLevel="0" collapsed="false">
      <c r="A969" s="10" t="s">
        <v>1971</v>
      </c>
      <c r="B969" s="10" t="s">
        <v>1972</v>
      </c>
      <c r="C969" s="10" t="s">
        <v>1181</v>
      </c>
      <c r="D969" s="10" t="s">
        <v>1851</v>
      </c>
      <c r="E969" s="11" t="n">
        <v>5000</v>
      </c>
      <c r="F969" s="11" t="n">
        <v>2699</v>
      </c>
      <c r="G969" s="12" t="n">
        <v>0.46</v>
      </c>
      <c r="H969" s="13" t="n">
        <v>4</v>
      </c>
      <c r="I969" s="11" t="n">
        <v>26164</v>
      </c>
      <c r="J969" s="11" t="n">
        <f aca="false">E969-F969</f>
        <v>2301</v>
      </c>
      <c r="K969" s="10" t="str">
        <f aca="false">IF(G969&lt;0.2,"0-19%",IF(G969&lt;0.4,"20-39%",IF(G969&lt;0.6,"40-59%",IF(G969&lt;0.8,"60-79%","80%+"))))</f>
        <v>40-59%</v>
      </c>
      <c r="L969" s="10" t="str">
        <f aca="false">IF(H969="","No rating",IF(H969&lt;3.5,"Below 3.5",IF(H969&lt;4,"3.5-3.9",IF(H969&lt;4.5,"4.0-4.4","4.5+"))))</f>
        <v>4.0-4.4</v>
      </c>
    </row>
    <row r="970" customFormat="false" ht="15" hidden="false" customHeight="false" outlineLevel="0" collapsed="false">
      <c r="A970" s="10" t="s">
        <v>1973</v>
      </c>
      <c r="B970" s="10" t="s">
        <v>1974</v>
      </c>
      <c r="C970" s="10" t="s">
        <v>1181</v>
      </c>
      <c r="D970" s="10" t="s">
        <v>1851</v>
      </c>
      <c r="E970" s="11" t="n">
        <v>990</v>
      </c>
      <c r="F970" s="11" t="n">
        <v>599</v>
      </c>
      <c r="G970" s="12" t="n">
        <v>0.39</v>
      </c>
      <c r="H970" s="13" t="n">
        <v>3.9</v>
      </c>
      <c r="I970" s="11" t="n">
        <v>16166</v>
      </c>
      <c r="J970" s="11" t="n">
        <f aca="false">E970-F970</f>
        <v>391</v>
      </c>
      <c r="K970" s="10" t="str">
        <f aca="false">IF(G970&lt;0.2,"0-19%",IF(G970&lt;0.4,"20-39%",IF(G970&lt;0.6,"40-59%",IF(G970&lt;0.8,"60-79%","80%+"))))</f>
        <v>20-39%</v>
      </c>
      <c r="L970" s="10" t="str">
        <f aca="false">IF(H970="","No rating",IF(H970&lt;3.5,"Below 3.5",IF(H970&lt;4,"3.5-3.9",IF(H970&lt;4.5,"4.0-4.4","4.5+"))))</f>
        <v>3.5-3.9</v>
      </c>
    </row>
    <row r="971" customFormat="false" ht="15" hidden="false" customHeight="false" outlineLevel="0" collapsed="false">
      <c r="A971" s="10" t="s">
        <v>1975</v>
      </c>
      <c r="B971" s="10" t="s">
        <v>1976</v>
      </c>
      <c r="C971" s="10" t="s">
        <v>1181</v>
      </c>
      <c r="D971" s="10" t="s">
        <v>1851</v>
      </c>
      <c r="E971" s="11" t="n">
        <v>1111</v>
      </c>
      <c r="F971" s="11" t="n">
        <v>749</v>
      </c>
      <c r="G971" s="12" t="n">
        <v>0.33</v>
      </c>
      <c r="H971" s="13" t="n">
        <v>4.2</v>
      </c>
      <c r="I971" s="11" t="n">
        <v>35693</v>
      </c>
      <c r="J971" s="11" t="n">
        <f aca="false">E971-F971</f>
        <v>362</v>
      </c>
      <c r="K971" s="10" t="str">
        <f aca="false">IF(G971&lt;0.2,"0-19%",IF(G971&lt;0.4,"20-39%",IF(G971&lt;0.6,"40-59%",IF(G971&lt;0.8,"60-79%","80%+"))))</f>
        <v>20-39%</v>
      </c>
      <c r="L971" s="10" t="str">
        <f aca="false">IF(H971="","No rating",IF(H971&lt;3.5,"Below 3.5",IF(H971&lt;4,"3.5-3.9",IF(H971&lt;4.5,"4.0-4.4","4.5+"))))</f>
        <v>4.0-4.4</v>
      </c>
    </row>
    <row r="972" customFormat="false" ht="15" hidden="false" customHeight="false" outlineLevel="0" collapsed="false">
      <c r="A972" s="10" t="s">
        <v>1977</v>
      </c>
      <c r="B972" s="10" t="s">
        <v>1978</v>
      </c>
      <c r="C972" s="10" t="s">
        <v>1181</v>
      </c>
      <c r="D972" s="10" t="s">
        <v>1854</v>
      </c>
      <c r="E972" s="11" t="n">
        <v>10400</v>
      </c>
      <c r="F972" s="11" t="n">
        <v>6199</v>
      </c>
      <c r="G972" s="12" t="n">
        <v>0.4</v>
      </c>
      <c r="H972" s="13" t="n">
        <v>4.1</v>
      </c>
      <c r="I972" s="11" t="n">
        <v>14391</v>
      </c>
      <c r="J972" s="11" t="n">
        <f aca="false">E972-F972</f>
        <v>4201</v>
      </c>
      <c r="K972" s="10" t="str">
        <f aca="false">IF(G972&lt;0.2,"0-19%",IF(G972&lt;0.4,"20-39%",IF(G972&lt;0.6,"40-59%",IF(G972&lt;0.8,"60-79%","80%+"))))</f>
        <v>40-59%</v>
      </c>
      <c r="L972" s="10" t="str">
        <f aca="false">IF(H972="","No rating",IF(H972&lt;3.5,"Below 3.5",IF(H972&lt;4,"3.5-3.9",IF(H972&lt;4.5,"4.0-4.4","4.5+"))))</f>
        <v>4.0-4.4</v>
      </c>
    </row>
    <row r="973" customFormat="false" ht="15" hidden="false" customHeight="false" outlineLevel="0" collapsed="false">
      <c r="A973" s="10" t="s">
        <v>1979</v>
      </c>
      <c r="B973" s="10" t="s">
        <v>1980</v>
      </c>
      <c r="C973" s="10" t="s">
        <v>1181</v>
      </c>
      <c r="D973" s="10" t="s">
        <v>1851</v>
      </c>
      <c r="E973" s="11" t="n">
        <v>2490</v>
      </c>
      <c r="F973" s="11" t="n">
        <v>1819</v>
      </c>
      <c r="G973" s="12" t="n">
        <v>0.27</v>
      </c>
      <c r="H973" s="13" t="n">
        <v>4.4</v>
      </c>
      <c r="I973" s="11" t="n">
        <v>7946</v>
      </c>
      <c r="J973" s="11" t="n">
        <f aca="false">E973-F973</f>
        <v>671</v>
      </c>
      <c r="K973" s="10" t="str">
        <f aca="false">IF(G973&lt;0.2,"0-19%",IF(G973&lt;0.4,"20-39%",IF(G973&lt;0.6,"40-59%",IF(G973&lt;0.8,"60-79%","80%+"))))</f>
        <v>20-39%</v>
      </c>
      <c r="L973" s="10" t="str">
        <f aca="false">IF(H973="","No rating",IF(H973&lt;3.5,"Below 3.5",IF(H973&lt;4,"3.5-3.9",IF(H973&lt;4.5,"4.0-4.4","4.5+"))))</f>
        <v>4.0-4.4</v>
      </c>
    </row>
    <row r="974" customFormat="false" ht="15" hidden="false" customHeight="false" outlineLevel="0" collapsed="false">
      <c r="A974" s="10" t="s">
        <v>1981</v>
      </c>
      <c r="B974" s="10" t="s">
        <v>1982</v>
      </c>
      <c r="C974" s="10" t="s">
        <v>1181</v>
      </c>
      <c r="D974" s="10" t="s">
        <v>1851</v>
      </c>
      <c r="E974" s="11" t="n">
        <v>1900</v>
      </c>
      <c r="F974" s="11" t="n">
        <v>1199</v>
      </c>
      <c r="G974" s="12" t="n">
        <v>0.37</v>
      </c>
      <c r="H974" s="13" t="n">
        <v>4</v>
      </c>
      <c r="I974" s="11" t="n">
        <v>1765</v>
      </c>
      <c r="J974" s="11" t="n">
        <f aca="false">E974-F974</f>
        <v>701</v>
      </c>
      <c r="K974" s="10" t="str">
        <f aca="false">IF(G974&lt;0.2,"0-19%",IF(G974&lt;0.4,"20-39%",IF(G974&lt;0.6,"40-59%",IF(G974&lt;0.8,"60-79%","80%+"))))</f>
        <v>20-39%</v>
      </c>
      <c r="L974" s="10" t="str">
        <f aca="false">IF(H974="","No rating",IF(H974&lt;3.5,"Below 3.5",IF(H974&lt;4,"3.5-3.9",IF(H974&lt;4.5,"4.0-4.4","4.5+"))))</f>
        <v>4.0-4.4</v>
      </c>
    </row>
    <row r="975" customFormat="false" ht="15" hidden="false" customHeight="false" outlineLevel="0" collapsed="false">
      <c r="A975" s="10" t="s">
        <v>1983</v>
      </c>
      <c r="B975" s="10" t="s">
        <v>1984</v>
      </c>
      <c r="C975" s="10" t="s">
        <v>1181</v>
      </c>
      <c r="D975" s="10" t="s">
        <v>1851</v>
      </c>
      <c r="E975" s="11" t="n">
        <v>6295</v>
      </c>
      <c r="F975" s="11" t="n">
        <v>3249</v>
      </c>
      <c r="G975" s="12" t="n">
        <v>0.48</v>
      </c>
      <c r="H975" s="13" t="n">
        <v>3.8</v>
      </c>
      <c r="I975" s="11" t="n">
        <v>14062</v>
      </c>
      <c r="J975" s="11" t="n">
        <f aca="false">E975-F975</f>
        <v>3046</v>
      </c>
      <c r="K975" s="10" t="str">
        <f aca="false">IF(G975&lt;0.2,"0-19%",IF(G975&lt;0.4,"20-39%",IF(G975&lt;0.6,"40-59%",IF(G975&lt;0.8,"60-79%","80%+"))))</f>
        <v>40-59%</v>
      </c>
      <c r="L975" s="10" t="str">
        <f aca="false">IF(H975="","No rating",IF(H975&lt;3.5,"Below 3.5",IF(H975&lt;4,"3.5-3.9",IF(H975&lt;4.5,"4.0-4.4","4.5+"))))</f>
        <v>3.5-3.9</v>
      </c>
    </row>
    <row r="976" customFormat="false" ht="15" hidden="false" customHeight="false" outlineLevel="0" collapsed="false">
      <c r="A976" s="10" t="s">
        <v>1985</v>
      </c>
      <c r="B976" s="10" t="s">
        <v>1986</v>
      </c>
      <c r="C976" s="10" t="s">
        <v>1181</v>
      </c>
      <c r="D976" s="10" t="s">
        <v>1851</v>
      </c>
      <c r="E976" s="11" t="n">
        <v>999</v>
      </c>
      <c r="F976" s="11" t="n">
        <v>349</v>
      </c>
      <c r="G976" s="12" t="n">
        <v>0.65</v>
      </c>
      <c r="H976" s="13" t="n">
        <v>4</v>
      </c>
      <c r="I976" s="11" t="n">
        <v>15646</v>
      </c>
      <c r="J976" s="11" t="n">
        <f aca="false">E976-F976</f>
        <v>650</v>
      </c>
      <c r="K976" s="10" t="str">
        <f aca="false">IF(G976&lt;0.2,"0-19%",IF(G976&lt;0.4,"20-39%",IF(G976&lt;0.6,"40-59%",IF(G976&lt;0.8,"60-79%","80%+"))))</f>
        <v>60-79%</v>
      </c>
      <c r="L976" s="10" t="str">
        <f aca="false">IF(H976="","No rating",IF(H976&lt;3.5,"Below 3.5",IF(H976&lt;4,"3.5-3.9",IF(H976&lt;4.5,"4.0-4.4","4.5+"))))</f>
        <v>4.0-4.4</v>
      </c>
    </row>
    <row r="977" customFormat="false" ht="15" hidden="false" customHeight="false" outlineLevel="0" collapsed="false">
      <c r="A977" s="10" t="s">
        <v>1987</v>
      </c>
      <c r="B977" s="10" t="s">
        <v>1988</v>
      </c>
      <c r="C977" s="10" t="s">
        <v>1181</v>
      </c>
      <c r="D977" s="10" t="s">
        <v>1854</v>
      </c>
      <c r="E977" s="11" t="n">
        <v>1699</v>
      </c>
      <c r="F977" s="11" t="n">
        <v>1049</v>
      </c>
      <c r="G977" s="12" t="n">
        <v>0.38</v>
      </c>
      <c r="H977" s="13" t="n">
        <v>3.1</v>
      </c>
      <c r="I977" s="11" t="n">
        <v>111</v>
      </c>
      <c r="J977" s="11" t="n">
        <f aca="false">E977-F977</f>
        <v>650</v>
      </c>
      <c r="K977" s="10" t="str">
        <f aca="false">IF(G977&lt;0.2,"0-19%",IF(G977&lt;0.4,"20-39%",IF(G977&lt;0.6,"40-59%",IF(G977&lt;0.8,"60-79%","80%+"))))</f>
        <v>20-39%</v>
      </c>
      <c r="L977" s="10" t="str">
        <f aca="false">IF(H977="","No rating",IF(H977&lt;3.5,"Below 3.5",IF(H977&lt;4,"3.5-3.9",IF(H977&lt;4.5,"4.0-4.4","4.5+"))))</f>
        <v>Below 3.5</v>
      </c>
    </row>
    <row r="978" customFormat="false" ht="15" hidden="false" customHeight="false" outlineLevel="0" collapsed="false">
      <c r="A978" s="10" t="s">
        <v>1989</v>
      </c>
      <c r="B978" s="10" t="s">
        <v>1990</v>
      </c>
      <c r="C978" s="10" t="s">
        <v>1181</v>
      </c>
      <c r="D978" s="10" t="s">
        <v>1851</v>
      </c>
      <c r="E978" s="11" t="n">
        <v>1500</v>
      </c>
      <c r="F978" s="11" t="n">
        <v>799</v>
      </c>
      <c r="G978" s="12" t="n">
        <v>0.47</v>
      </c>
      <c r="H978" s="13" t="n">
        <v>4.3</v>
      </c>
      <c r="I978" s="11" t="n">
        <v>9695</v>
      </c>
      <c r="J978" s="11" t="n">
        <f aca="false">E978-F978</f>
        <v>701</v>
      </c>
      <c r="K978" s="10" t="str">
        <f aca="false">IF(G978&lt;0.2,"0-19%",IF(G978&lt;0.4,"20-39%",IF(G978&lt;0.6,"40-59%",IF(G978&lt;0.8,"60-79%","80%+"))))</f>
        <v>40-59%</v>
      </c>
      <c r="L978" s="10" t="str">
        <f aca="false">IF(H978="","No rating",IF(H978&lt;3.5,"Below 3.5",IF(H978&lt;4,"3.5-3.9",IF(H978&lt;4.5,"4.0-4.4","4.5+"))))</f>
        <v>4.0-4.4</v>
      </c>
    </row>
    <row r="979" customFormat="false" ht="15" hidden="false" customHeight="false" outlineLevel="0" collapsed="false">
      <c r="A979" s="10" t="s">
        <v>1991</v>
      </c>
      <c r="B979" s="10" t="s">
        <v>1992</v>
      </c>
      <c r="C979" s="10" t="s">
        <v>1181</v>
      </c>
      <c r="D979" s="10" t="s">
        <v>1854</v>
      </c>
      <c r="E979" s="11" t="n">
        <v>9650</v>
      </c>
      <c r="F979" s="11" t="n">
        <v>4999</v>
      </c>
      <c r="G979" s="12" t="n">
        <v>0.48</v>
      </c>
      <c r="H979" s="13" t="n">
        <v>4.2</v>
      </c>
      <c r="I979" s="11" t="n">
        <v>1772</v>
      </c>
      <c r="J979" s="11" t="n">
        <f aca="false">E979-F979</f>
        <v>4651</v>
      </c>
      <c r="K979" s="10" t="str">
        <f aca="false">IF(G979&lt;0.2,"0-19%",IF(G979&lt;0.4,"20-39%",IF(G979&lt;0.6,"40-59%",IF(G979&lt;0.8,"60-79%","80%+"))))</f>
        <v>40-59%</v>
      </c>
      <c r="L979" s="10" t="str">
        <f aca="false">IF(H979="","No rating",IF(H979&lt;3.5,"Below 3.5",IF(H979&lt;4,"3.5-3.9",IF(H979&lt;4.5,"4.0-4.4","4.5+"))))</f>
        <v>4.0-4.4</v>
      </c>
    </row>
    <row r="980" customFormat="false" ht="15" hidden="false" customHeight="false" outlineLevel="0" collapsed="false">
      <c r="A980" s="10" t="s">
        <v>1993</v>
      </c>
      <c r="B980" s="10" t="s">
        <v>1994</v>
      </c>
      <c r="C980" s="10" t="s">
        <v>1181</v>
      </c>
      <c r="D980" s="10" t="s">
        <v>1851</v>
      </c>
      <c r="E980" s="11" t="n">
        <v>10590</v>
      </c>
      <c r="F980" s="11" t="n">
        <v>6999</v>
      </c>
      <c r="G980" s="12" t="n">
        <v>0.34</v>
      </c>
      <c r="H980" s="13" t="n">
        <v>4.4</v>
      </c>
      <c r="I980" s="11" t="n">
        <v>11499</v>
      </c>
      <c r="J980" s="11" t="n">
        <f aca="false">E980-F980</f>
        <v>3591</v>
      </c>
      <c r="K980" s="10" t="str">
        <f aca="false">IF(G980&lt;0.2,"0-19%",IF(G980&lt;0.4,"20-39%",IF(G980&lt;0.6,"40-59%",IF(G980&lt;0.8,"60-79%","80%+"))))</f>
        <v>20-39%</v>
      </c>
      <c r="L980" s="10" t="str">
        <f aca="false">IF(H980="","No rating",IF(H980&lt;3.5,"Below 3.5",IF(H980&lt;4,"3.5-3.9",IF(H980&lt;4.5,"4.0-4.4","4.5+"))))</f>
        <v>4.0-4.4</v>
      </c>
    </row>
    <row r="981" customFormat="false" ht="15" hidden="false" customHeight="false" outlineLevel="0" collapsed="false">
      <c r="A981" s="10" t="s">
        <v>1995</v>
      </c>
      <c r="B981" s="10" t="s">
        <v>1996</v>
      </c>
      <c r="C981" s="10" t="s">
        <v>1181</v>
      </c>
      <c r="D981" s="10" t="s">
        <v>1851</v>
      </c>
      <c r="E981" s="11" t="n">
        <v>1999</v>
      </c>
      <c r="F981" s="11" t="n">
        <v>799</v>
      </c>
      <c r="G981" s="12" t="n">
        <v>0.6</v>
      </c>
      <c r="H981" s="13" t="n">
        <v>4.1</v>
      </c>
      <c r="I981" s="11" t="n">
        <v>2162</v>
      </c>
      <c r="J981" s="11" t="n">
        <f aca="false">E981-F981</f>
        <v>1200</v>
      </c>
      <c r="K981" s="10" t="str">
        <f aca="false">IF(G981&lt;0.2,"0-19%",IF(G981&lt;0.4,"20-39%",IF(G981&lt;0.6,"40-59%",IF(G981&lt;0.8,"60-79%","80%+"))))</f>
        <v>60-79%</v>
      </c>
      <c r="L981" s="10" t="str">
        <f aca="false">IF(H981="","No rating",IF(H981&lt;3.5,"Below 3.5",IF(H981&lt;4,"3.5-3.9",IF(H981&lt;4.5,"4.0-4.4","4.5+"))))</f>
        <v>4.0-4.4</v>
      </c>
    </row>
    <row r="982" customFormat="false" ht="15" hidden="false" customHeight="false" outlineLevel="0" collapsed="false">
      <c r="A982" s="10" t="s">
        <v>1997</v>
      </c>
      <c r="B982" s="10" t="s">
        <v>1998</v>
      </c>
      <c r="C982" s="10" t="s">
        <v>1181</v>
      </c>
      <c r="D982" s="10" t="s">
        <v>1851</v>
      </c>
      <c r="E982" s="11" t="n">
        <v>89</v>
      </c>
      <c r="F982" s="11" t="n">
        <v>89</v>
      </c>
      <c r="G982" s="12" t="n">
        <v>0</v>
      </c>
      <c r="H982" s="13" t="n">
        <v>4.2</v>
      </c>
      <c r="I982" s="11" t="n">
        <v>19621</v>
      </c>
      <c r="J982" s="11" t="n">
        <f aca="false">E982-F982</f>
        <v>0</v>
      </c>
      <c r="K982" s="10" t="str">
        <f aca="false">IF(G982&lt;0.2,"0-19%",IF(G982&lt;0.4,"20-39%",IF(G982&lt;0.6,"40-59%",IF(G982&lt;0.8,"60-79%","80%+"))))</f>
        <v>0-19%</v>
      </c>
      <c r="L982" s="10" t="str">
        <f aca="false">IF(H982="","No rating",IF(H982&lt;3.5,"Below 3.5",IF(H982&lt;4,"3.5-3.9",IF(H982&lt;4.5,"4.0-4.4","4.5+"))))</f>
        <v>4.0-4.4</v>
      </c>
    </row>
    <row r="983" customFormat="false" ht="15" hidden="false" customHeight="false" outlineLevel="0" collapsed="false">
      <c r="A983" s="10" t="s">
        <v>1999</v>
      </c>
      <c r="B983" s="10" t="s">
        <v>2000</v>
      </c>
      <c r="C983" s="10" t="s">
        <v>1181</v>
      </c>
      <c r="D983" s="10" t="s">
        <v>1854</v>
      </c>
      <c r="E983" s="11" t="n">
        <v>2485</v>
      </c>
      <c r="F983" s="11" t="n">
        <v>1400</v>
      </c>
      <c r="G983" s="12" t="n">
        <v>0.44</v>
      </c>
      <c r="H983" s="13" t="n">
        <v>4.1</v>
      </c>
      <c r="I983" s="11" t="n">
        <v>19998</v>
      </c>
      <c r="J983" s="11" t="n">
        <f aca="false">E983-F983</f>
        <v>1085</v>
      </c>
      <c r="K983" s="10" t="str">
        <f aca="false">IF(G983&lt;0.2,"0-19%",IF(G983&lt;0.4,"20-39%",IF(G983&lt;0.6,"40-59%",IF(G983&lt;0.8,"60-79%","80%+"))))</f>
        <v>40-59%</v>
      </c>
      <c r="L983" s="10" t="str">
        <f aca="false">IF(H983="","No rating",IF(H983&lt;3.5,"Below 3.5",IF(H983&lt;4,"3.5-3.9",IF(H983&lt;4.5,"4.0-4.4","4.5+"))))</f>
        <v>4.0-4.4</v>
      </c>
    </row>
    <row r="984" customFormat="false" ht="15" hidden="false" customHeight="false" outlineLevel="0" collapsed="false">
      <c r="A984" s="10" t="s">
        <v>2001</v>
      </c>
      <c r="B984" s="10" t="s">
        <v>2002</v>
      </c>
      <c r="C984" s="10" t="s">
        <v>1181</v>
      </c>
      <c r="D984" s="10" t="s">
        <v>1920</v>
      </c>
      <c r="E984" s="11" t="n">
        <v>899</v>
      </c>
      <c r="F984" s="11" t="n">
        <v>355</v>
      </c>
      <c r="G984" s="12" t="n">
        <v>0.61</v>
      </c>
      <c r="H984" s="13" t="n">
        <v>4.1</v>
      </c>
      <c r="I984" s="11" t="n">
        <v>1051</v>
      </c>
      <c r="J984" s="11" t="n">
        <f aca="false">E984-F984</f>
        <v>544</v>
      </c>
      <c r="K984" s="10" t="str">
        <f aca="false">IF(G984&lt;0.2,"0-19%",IF(G984&lt;0.4,"20-39%",IF(G984&lt;0.6,"40-59%",IF(G984&lt;0.8,"60-79%","80%+"))))</f>
        <v>60-79%</v>
      </c>
      <c r="L984" s="10" t="str">
        <f aca="false">IF(H984="","No rating",IF(H984&lt;3.5,"Below 3.5",IF(H984&lt;4,"3.5-3.9",IF(H984&lt;4.5,"4.0-4.4","4.5+"))))</f>
        <v>4.0-4.4</v>
      </c>
    </row>
    <row r="985" customFormat="false" ht="15" hidden="false" customHeight="false" outlineLevel="0" collapsed="false">
      <c r="A985" s="10" t="s">
        <v>2003</v>
      </c>
      <c r="B985" s="10" t="s">
        <v>2004</v>
      </c>
      <c r="C985" s="10" t="s">
        <v>1181</v>
      </c>
      <c r="D985" s="10" t="s">
        <v>1854</v>
      </c>
      <c r="E985" s="11" t="n">
        <v>3279</v>
      </c>
      <c r="F985" s="11" t="n">
        <v>2169</v>
      </c>
      <c r="G985" s="12" t="n">
        <v>0.34</v>
      </c>
      <c r="H985" s="13" t="n">
        <v>4.1</v>
      </c>
      <c r="I985" s="11" t="n">
        <v>1716</v>
      </c>
      <c r="J985" s="11" t="n">
        <f aca="false">E985-F985</f>
        <v>1110</v>
      </c>
      <c r="K985" s="10" t="str">
        <f aca="false">IF(G985&lt;0.2,"0-19%",IF(G985&lt;0.4,"20-39%",IF(G985&lt;0.6,"40-59%",IF(G985&lt;0.8,"60-79%","80%+"))))</f>
        <v>20-39%</v>
      </c>
      <c r="L985" s="10" t="str">
        <f aca="false">IF(H985="","No rating",IF(H985&lt;3.5,"Below 3.5",IF(H985&lt;4,"3.5-3.9",IF(H985&lt;4.5,"4.0-4.4","4.5+"))))</f>
        <v>4.0-4.4</v>
      </c>
    </row>
    <row r="986" customFormat="false" ht="15" hidden="false" customHeight="false" outlineLevel="0" collapsed="false">
      <c r="A986" s="10" t="s">
        <v>2005</v>
      </c>
      <c r="B986" s="10" t="s">
        <v>2006</v>
      </c>
      <c r="C986" s="10" t="s">
        <v>1181</v>
      </c>
      <c r="D986" s="10" t="s">
        <v>1851</v>
      </c>
      <c r="E986" s="11" t="n">
        <v>3799</v>
      </c>
      <c r="F986" s="11" t="n">
        <v>2799</v>
      </c>
      <c r="G986" s="12" t="n">
        <v>0.26</v>
      </c>
      <c r="H986" s="13" t="n">
        <v>3.9</v>
      </c>
      <c r="I986" s="11" t="n">
        <v>32931</v>
      </c>
      <c r="J986" s="11" t="n">
        <f aca="false">E986-F986</f>
        <v>1000</v>
      </c>
      <c r="K986" s="10" t="str">
        <f aca="false">IF(G986&lt;0.2,"0-19%",IF(G986&lt;0.4,"20-39%",IF(G986&lt;0.6,"40-59%",IF(G986&lt;0.8,"60-79%","80%+"))))</f>
        <v>20-39%</v>
      </c>
      <c r="L986" s="10" t="str">
        <f aca="false">IF(H986="","No rating",IF(H986&lt;3.5,"Below 3.5",IF(H986&lt;4,"3.5-3.9",IF(H986&lt;4.5,"4.0-4.4","4.5+"))))</f>
        <v>3.5-3.9</v>
      </c>
    </row>
    <row r="987" customFormat="false" ht="15" hidden="false" customHeight="false" outlineLevel="0" collapsed="false">
      <c r="A987" s="10" t="s">
        <v>2007</v>
      </c>
      <c r="B987" s="10" t="s">
        <v>2008</v>
      </c>
      <c r="C987" s="10" t="s">
        <v>1181</v>
      </c>
      <c r="D987" s="10" t="s">
        <v>1851</v>
      </c>
      <c r="E987" s="11" t="n">
        <v>1249</v>
      </c>
      <c r="F987" s="11" t="n">
        <v>899</v>
      </c>
      <c r="G987" s="12" t="n">
        <v>0.28</v>
      </c>
      <c r="H987" s="13" t="n">
        <v>3.9</v>
      </c>
      <c r="I987" s="11" t="n">
        <v>17424</v>
      </c>
      <c r="J987" s="11" t="n">
        <f aca="false">E987-F987</f>
        <v>350</v>
      </c>
      <c r="K987" s="10" t="str">
        <f aca="false">IF(G987&lt;0.2,"0-19%",IF(G987&lt;0.4,"20-39%",IF(G987&lt;0.6,"40-59%",IF(G987&lt;0.8,"60-79%","80%+"))))</f>
        <v>20-39%</v>
      </c>
      <c r="L987" s="10" t="str">
        <f aca="false">IF(H987="","No rating",IF(H987&lt;3.5,"Below 3.5",IF(H987&lt;4,"3.5-3.9",IF(H987&lt;4.5,"4.0-4.4","4.5+"))))</f>
        <v>3.5-3.9</v>
      </c>
    </row>
    <row r="988" customFormat="false" ht="15" hidden="false" customHeight="false" outlineLevel="0" collapsed="false">
      <c r="A988" s="10" t="s">
        <v>2009</v>
      </c>
      <c r="B988" s="10" t="s">
        <v>2010</v>
      </c>
      <c r="C988" s="10" t="s">
        <v>1181</v>
      </c>
      <c r="D988" s="10" t="s">
        <v>1854</v>
      </c>
      <c r="E988" s="11" t="n">
        <v>5000</v>
      </c>
      <c r="F988" s="11" t="n">
        <v>2499</v>
      </c>
      <c r="G988" s="12" t="n">
        <v>0.5</v>
      </c>
      <c r="H988" s="13" t="n">
        <v>3.8</v>
      </c>
      <c r="I988" s="11" t="n">
        <v>1889</v>
      </c>
      <c r="J988" s="11" t="n">
        <f aca="false">E988-F988</f>
        <v>2501</v>
      </c>
      <c r="K988" s="10" t="str">
        <f aca="false">IF(G988&lt;0.2,"0-19%",IF(G988&lt;0.4,"20-39%",IF(G988&lt;0.6,"40-59%",IF(G988&lt;0.8,"60-79%","80%+"))))</f>
        <v>40-59%</v>
      </c>
      <c r="L988" s="10" t="str">
        <f aca="false">IF(H988="","No rating",IF(H988&lt;3.5,"Below 3.5",IF(H988&lt;4,"3.5-3.9",IF(H988&lt;4.5,"4.0-4.4","4.5+"))))</f>
        <v>3.5-3.9</v>
      </c>
    </row>
    <row r="989" customFormat="false" ht="15" hidden="false" customHeight="false" outlineLevel="0" collapsed="false">
      <c r="A989" s="10" t="s">
        <v>2011</v>
      </c>
      <c r="B989" s="10" t="s">
        <v>2012</v>
      </c>
      <c r="C989" s="10" t="s">
        <v>1181</v>
      </c>
      <c r="D989" s="10" t="s">
        <v>1854</v>
      </c>
      <c r="E989" s="11" t="n">
        <v>7299</v>
      </c>
      <c r="F989" s="11" t="n">
        <v>3599</v>
      </c>
      <c r="G989" s="12" t="n">
        <v>0.51</v>
      </c>
      <c r="H989" s="13" t="n">
        <v>4</v>
      </c>
      <c r="I989" s="11" t="n">
        <v>10324</v>
      </c>
      <c r="J989" s="11" t="n">
        <f aca="false">E989-F989</f>
        <v>3700</v>
      </c>
      <c r="K989" s="10" t="str">
        <f aca="false">IF(G989&lt;0.2,"0-19%",IF(G989&lt;0.4,"20-39%",IF(G989&lt;0.6,"40-59%",IF(G989&lt;0.8,"60-79%","80%+"))))</f>
        <v>40-59%</v>
      </c>
      <c r="L989" s="10" t="str">
        <f aca="false">IF(H989="","No rating",IF(H989&lt;3.5,"Below 3.5",IF(H989&lt;4,"3.5-3.9",IF(H989&lt;4.5,"4.0-4.4","4.5+"))))</f>
        <v>4.0-4.4</v>
      </c>
    </row>
    <row r="990" customFormat="false" ht="15" hidden="false" customHeight="false" outlineLevel="0" collapsed="false">
      <c r="A990" s="10" t="s">
        <v>2013</v>
      </c>
      <c r="B990" s="10" t="s">
        <v>2014</v>
      </c>
      <c r="C990" s="10" t="s">
        <v>1181</v>
      </c>
      <c r="D990" s="10" t="s">
        <v>1851</v>
      </c>
      <c r="E990" s="11" t="n">
        <v>625</v>
      </c>
      <c r="F990" s="11" t="n">
        <v>499</v>
      </c>
      <c r="G990" s="12" t="n">
        <v>0.2</v>
      </c>
      <c r="H990" s="13" t="n">
        <v>4.2</v>
      </c>
      <c r="I990" s="11" t="n">
        <v>5355</v>
      </c>
      <c r="J990" s="11" t="n">
        <f aca="false">E990-F990</f>
        <v>126</v>
      </c>
      <c r="K990" s="10" t="str">
        <f aca="false">IF(G990&lt;0.2,"0-19%",IF(G990&lt;0.4,"20-39%",IF(G990&lt;0.6,"40-59%",IF(G990&lt;0.8,"60-79%","80%+"))))</f>
        <v>20-39%</v>
      </c>
      <c r="L990" s="10" t="str">
        <f aca="false">IF(H990="","No rating",IF(H990&lt;3.5,"Below 3.5",IF(H990&lt;4,"3.5-3.9",IF(H990&lt;4.5,"4.0-4.4","4.5+"))))</f>
        <v>4.0-4.4</v>
      </c>
    </row>
    <row r="991" customFormat="false" ht="15" hidden="false" customHeight="false" outlineLevel="0" collapsed="false">
      <c r="A991" s="10" t="s">
        <v>2015</v>
      </c>
      <c r="B991" s="10" t="s">
        <v>2016</v>
      </c>
      <c r="C991" s="10" t="s">
        <v>1181</v>
      </c>
      <c r="D991" s="10" t="s">
        <v>1854</v>
      </c>
      <c r="E991" s="11" t="n">
        <v>1020</v>
      </c>
      <c r="F991" s="11" t="n">
        <v>653</v>
      </c>
      <c r="G991" s="12" t="n">
        <v>0.36</v>
      </c>
      <c r="H991" s="13" t="n">
        <v>4.1</v>
      </c>
      <c r="I991" s="11" t="n">
        <v>3366</v>
      </c>
      <c r="J991" s="11" t="n">
        <f aca="false">E991-F991</f>
        <v>367</v>
      </c>
      <c r="K991" s="10" t="str">
        <f aca="false">IF(G991&lt;0.2,"0-19%",IF(G991&lt;0.4,"20-39%",IF(G991&lt;0.6,"40-59%",IF(G991&lt;0.8,"60-79%","80%+"))))</f>
        <v>20-39%</v>
      </c>
      <c r="L991" s="10" t="str">
        <f aca="false">IF(H991="","No rating",IF(H991&lt;3.5,"Below 3.5",IF(H991&lt;4,"3.5-3.9",IF(H991&lt;4.5,"4.0-4.4","4.5+"))))</f>
        <v>4.0-4.4</v>
      </c>
    </row>
    <row r="992" customFormat="false" ht="15" hidden="false" customHeight="false" outlineLevel="0" collapsed="false">
      <c r="A992" s="10" t="s">
        <v>2017</v>
      </c>
      <c r="B992" s="10" t="s">
        <v>2018</v>
      </c>
      <c r="C992" s="10" t="s">
        <v>1181</v>
      </c>
      <c r="D992" s="10" t="s">
        <v>1851</v>
      </c>
      <c r="E992" s="11" t="n">
        <v>8990</v>
      </c>
      <c r="F992" s="11" t="n">
        <v>4789</v>
      </c>
      <c r="G992" s="12" t="n">
        <v>0.47</v>
      </c>
      <c r="H992" s="13" t="n">
        <v>4.3</v>
      </c>
      <c r="I992" s="11" t="n">
        <v>1017</v>
      </c>
      <c r="J992" s="11" t="n">
        <f aca="false">E992-F992</f>
        <v>4201</v>
      </c>
      <c r="K992" s="10" t="str">
        <f aca="false">IF(G992&lt;0.2,"0-19%",IF(G992&lt;0.4,"20-39%",IF(G992&lt;0.6,"40-59%",IF(G992&lt;0.8,"60-79%","80%+"))))</f>
        <v>40-59%</v>
      </c>
      <c r="L992" s="10" t="str">
        <f aca="false">IF(H992="","No rating",IF(H992&lt;3.5,"Below 3.5",IF(H992&lt;4,"3.5-3.9",IF(H992&lt;4.5,"4.0-4.4","4.5+"))))</f>
        <v>4.0-4.4</v>
      </c>
    </row>
    <row r="993" customFormat="false" ht="15" hidden="false" customHeight="false" outlineLevel="0" collapsed="false">
      <c r="A993" s="10" t="s">
        <v>2019</v>
      </c>
      <c r="B993" s="10" t="s">
        <v>2020</v>
      </c>
      <c r="C993" s="10" t="s">
        <v>1181</v>
      </c>
      <c r="D993" s="10" t="s">
        <v>1854</v>
      </c>
      <c r="E993" s="11" t="n">
        <v>1639</v>
      </c>
      <c r="F993" s="11" t="n">
        <v>1409</v>
      </c>
      <c r="G993" s="12" t="n">
        <v>0.14</v>
      </c>
      <c r="H993" s="13" t="n">
        <v>3.7</v>
      </c>
      <c r="I993" s="11" t="n">
        <v>787</v>
      </c>
      <c r="J993" s="11" t="n">
        <f aca="false">E993-F993</f>
        <v>230</v>
      </c>
      <c r="K993" s="10" t="str">
        <f aca="false">IF(G993&lt;0.2,"0-19%",IF(G993&lt;0.4,"20-39%",IF(G993&lt;0.6,"40-59%",IF(G993&lt;0.8,"60-79%","80%+"))))</f>
        <v>0-19%</v>
      </c>
      <c r="L993" s="10" t="str">
        <f aca="false">IF(H993="","No rating",IF(H993&lt;3.5,"Below 3.5",IF(H993&lt;4,"3.5-3.9",IF(H993&lt;4.5,"4.0-4.4","4.5+"))))</f>
        <v>3.5-3.9</v>
      </c>
    </row>
    <row r="994" customFormat="false" ht="15" hidden="false" customHeight="false" outlineLevel="0" collapsed="false">
      <c r="A994" s="10" t="s">
        <v>2021</v>
      </c>
      <c r="B994" s="10" t="s">
        <v>2022</v>
      </c>
      <c r="C994" s="10" t="s">
        <v>1181</v>
      </c>
      <c r="D994" s="10" t="s">
        <v>1851</v>
      </c>
      <c r="E994" s="11" t="n">
        <v>899</v>
      </c>
      <c r="F994" s="11" t="n">
        <v>753</v>
      </c>
      <c r="G994" s="12" t="n">
        <v>0.16</v>
      </c>
      <c r="H994" s="13" t="n">
        <v>4.2</v>
      </c>
      <c r="I994" s="11" t="n">
        <v>18462</v>
      </c>
      <c r="J994" s="11" t="n">
        <f aca="false">E994-F994</f>
        <v>146</v>
      </c>
      <c r="K994" s="10" t="str">
        <f aca="false">IF(G994&lt;0.2,"0-19%",IF(G994&lt;0.4,"20-39%",IF(G994&lt;0.6,"40-59%",IF(G994&lt;0.8,"60-79%","80%+"))))</f>
        <v>0-19%</v>
      </c>
      <c r="L994" s="10" t="str">
        <f aca="false">IF(H994="","No rating",IF(H994&lt;3.5,"Below 3.5",IF(H994&lt;4,"3.5-3.9",IF(H994&lt;4.5,"4.0-4.4","4.5+"))))</f>
        <v>4.0-4.4</v>
      </c>
    </row>
    <row r="995" customFormat="false" ht="15" hidden="false" customHeight="false" outlineLevel="0" collapsed="false">
      <c r="A995" s="10" t="s">
        <v>2023</v>
      </c>
      <c r="B995" s="10" t="s">
        <v>2024</v>
      </c>
      <c r="C995" s="10" t="s">
        <v>1181</v>
      </c>
      <c r="D995" s="10" t="s">
        <v>1851</v>
      </c>
      <c r="E995" s="11" t="n">
        <v>1199</v>
      </c>
      <c r="F995" s="11" t="n">
        <v>353</v>
      </c>
      <c r="G995" s="12" t="n">
        <v>0.71</v>
      </c>
      <c r="H995" s="13" t="n">
        <v>4.3</v>
      </c>
      <c r="I995" s="11" t="n">
        <v>629</v>
      </c>
      <c r="J995" s="11" t="n">
        <f aca="false">E995-F995</f>
        <v>846</v>
      </c>
      <c r="K995" s="10" t="str">
        <f aca="false">IF(G995&lt;0.2,"0-19%",IF(G995&lt;0.4,"20-39%",IF(G995&lt;0.6,"40-59%",IF(G995&lt;0.8,"60-79%","80%+"))))</f>
        <v>60-79%</v>
      </c>
      <c r="L995" s="10" t="str">
        <f aca="false">IF(H995="","No rating",IF(H995&lt;3.5,"Below 3.5",IF(H995&lt;4,"3.5-3.9",IF(H995&lt;4.5,"4.0-4.4","4.5+"))))</f>
        <v>4.0-4.4</v>
      </c>
    </row>
    <row r="996" customFormat="false" ht="15" hidden="false" customHeight="false" outlineLevel="0" collapsed="false">
      <c r="A996" s="10" t="s">
        <v>2025</v>
      </c>
      <c r="B996" s="10" t="s">
        <v>2026</v>
      </c>
      <c r="C996" s="10" t="s">
        <v>1181</v>
      </c>
      <c r="D996" s="10" t="s">
        <v>1851</v>
      </c>
      <c r="E996" s="11" t="n">
        <v>1899</v>
      </c>
      <c r="F996" s="11" t="n">
        <v>1099</v>
      </c>
      <c r="G996" s="12" t="n">
        <v>0.42</v>
      </c>
      <c r="H996" s="13" t="n">
        <v>4.3</v>
      </c>
      <c r="I996" s="11" t="n">
        <v>15276</v>
      </c>
      <c r="J996" s="11" t="n">
        <f aca="false">E996-F996</f>
        <v>800</v>
      </c>
      <c r="K996" s="10" t="str">
        <f aca="false">IF(G996&lt;0.2,"0-19%",IF(G996&lt;0.4,"20-39%",IF(G996&lt;0.6,"40-59%",IF(G996&lt;0.8,"60-79%","80%+"))))</f>
        <v>40-59%</v>
      </c>
      <c r="L996" s="10" t="str">
        <f aca="false">IF(H996="","No rating",IF(H996&lt;3.5,"Below 3.5",IF(H996&lt;4,"3.5-3.9",IF(H996&lt;4.5,"4.0-4.4","4.5+"))))</f>
        <v>4.0-4.4</v>
      </c>
    </row>
    <row r="997" customFormat="false" ht="15" hidden="false" customHeight="false" outlineLevel="0" collapsed="false">
      <c r="A997" s="10" t="s">
        <v>2027</v>
      </c>
      <c r="B997" s="10" t="s">
        <v>2028</v>
      </c>
      <c r="C997" s="10" t="s">
        <v>1181</v>
      </c>
      <c r="D997" s="10" t="s">
        <v>1851</v>
      </c>
      <c r="E997" s="11" t="n">
        <v>11595</v>
      </c>
      <c r="F997" s="11" t="n">
        <v>8799</v>
      </c>
      <c r="G997" s="12" t="n">
        <v>0.24</v>
      </c>
      <c r="H997" s="13" t="n">
        <v>4.4</v>
      </c>
      <c r="I997" s="11" t="n">
        <v>2981</v>
      </c>
      <c r="J997" s="11" t="n">
        <f aca="false">E997-F997</f>
        <v>2796</v>
      </c>
      <c r="K997" s="10" t="str">
        <f aca="false">IF(G997&lt;0.2,"0-19%",IF(G997&lt;0.4,"20-39%",IF(G997&lt;0.6,"40-59%",IF(G997&lt;0.8,"60-79%","80%+"))))</f>
        <v>20-39%</v>
      </c>
      <c r="L997" s="10" t="str">
        <f aca="false">IF(H997="","No rating",IF(H997&lt;3.5,"Below 3.5",IF(H997&lt;4,"3.5-3.9",IF(H997&lt;4.5,"4.0-4.4","4.5+"))))</f>
        <v>4.0-4.4</v>
      </c>
    </row>
    <row r="998" customFormat="false" ht="15" hidden="false" customHeight="false" outlineLevel="0" collapsed="false">
      <c r="A998" s="10" t="s">
        <v>2029</v>
      </c>
      <c r="B998" s="10" t="s">
        <v>2030</v>
      </c>
      <c r="C998" s="10" t="s">
        <v>1181</v>
      </c>
      <c r="D998" s="10" t="s">
        <v>1851</v>
      </c>
      <c r="E998" s="11" t="n">
        <v>1750</v>
      </c>
      <c r="F998" s="11" t="n">
        <v>1345</v>
      </c>
      <c r="G998" s="12" t="n">
        <v>0.23</v>
      </c>
      <c r="H998" s="13" t="n">
        <v>3.8</v>
      </c>
      <c r="I998" s="11" t="n">
        <v>2466</v>
      </c>
      <c r="J998" s="11" t="n">
        <f aca="false">E998-F998</f>
        <v>405</v>
      </c>
      <c r="K998" s="10" t="str">
        <f aca="false">IF(G998&lt;0.2,"0-19%",IF(G998&lt;0.4,"20-39%",IF(G998&lt;0.6,"40-59%",IF(G998&lt;0.8,"60-79%","80%+"))))</f>
        <v>20-39%</v>
      </c>
      <c r="L998" s="10" t="str">
        <f aca="false">IF(H998="","No rating",IF(H998&lt;3.5,"Below 3.5",IF(H998&lt;4,"3.5-3.9",IF(H998&lt;4.5,"4.0-4.4","4.5+"))))</f>
        <v>3.5-3.9</v>
      </c>
    </row>
    <row r="999" customFormat="false" ht="15" hidden="false" customHeight="false" outlineLevel="0" collapsed="false">
      <c r="A999" s="10" t="s">
        <v>2031</v>
      </c>
      <c r="B999" s="10" t="s">
        <v>2032</v>
      </c>
      <c r="C999" s="10" t="s">
        <v>1181</v>
      </c>
      <c r="D999" s="10" t="s">
        <v>1851</v>
      </c>
      <c r="E999" s="11" t="n">
        <v>2095</v>
      </c>
      <c r="F999" s="11" t="n">
        <v>2095</v>
      </c>
      <c r="G999" s="12" t="n">
        <v>0</v>
      </c>
      <c r="H999" s="13" t="n">
        <v>4.5</v>
      </c>
      <c r="I999" s="11" t="n">
        <v>7949</v>
      </c>
      <c r="J999" s="11" t="n">
        <f aca="false">E999-F999</f>
        <v>0</v>
      </c>
      <c r="K999" s="10" t="str">
        <f aca="false">IF(G999&lt;0.2,"0-19%",IF(G999&lt;0.4,"20-39%",IF(G999&lt;0.6,"40-59%",IF(G999&lt;0.8,"60-79%","80%+"))))</f>
        <v>0-19%</v>
      </c>
      <c r="L999" s="10" t="str">
        <f aca="false">IF(H999="","No rating",IF(H999&lt;3.5,"Below 3.5",IF(H999&lt;4,"3.5-3.9",IF(H999&lt;4.5,"4.0-4.4","4.5+"))))</f>
        <v>4.5+</v>
      </c>
    </row>
    <row r="1000" customFormat="false" ht="15" hidden="false" customHeight="false" outlineLevel="0" collapsed="false">
      <c r="A1000" s="10" t="s">
        <v>2033</v>
      </c>
      <c r="B1000" s="10" t="s">
        <v>2034</v>
      </c>
      <c r="C1000" s="10" t="s">
        <v>1181</v>
      </c>
      <c r="D1000" s="10" t="s">
        <v>1854</v>
      </c>
      <c r="E1000" s="11" t="n">
        <v>2300</v>
      </c>
      <c r="F1000" s="11" t="n">
        <v>1498</v>
      </c>
      <c r="G1000" s="12" t="n">
        <v>0.35</v>
      </c>
      <c r="H1000" s="13" t="n">
        <v>3.8</v>
      </c>
      <c r="I1000" s="11" t="n">
        <v>95</v>
      </c>
      <c r="J1000" s="11" t="n">
        <f aca="false">E1000-F1000</f>
        <v>802</v>
      </c>
      <c r="K1000" s="10" t="str">
        <f aca="false">IF(G1000&lt;0.2,"0-19%",IF(G1000&lt;0.4,"20-39%",IF(G1000&lt;0.6,"40-59%",IF(G1000&lt;0.8,"60-79%","80%+"))))</f>
        <v>20-39%</v>
      </c>
      <c r="L1000" s="10" t="str">
        <f aca="false">IF(H1000="","No rating",IF(H1000&lt;3.5,"Below 3.5",IF(H1000&lt;4,"3.5-3.9",IF(H1000&lt;4.5,"4.0-4.4","4.5+"))))</f>
        <v>3.5-3.9</v>
      </c>
    </row>
    <row r="1001" customFormat="false" ht="15" hidden="false" customHeight="false" outlineLevel="0" collapsed="false">
      <c r="A1001" s="10" t="s">
        <v>2035</v>
      </c>
      <c r="B1001" s="10" t="s">
        <v>2036</v>
      </c>
      <c r="C1001" s="10" t="s">
        <v>1181</v>
      </c>
      <c r="D1001" s="10" t="s">
        <v>1854</v>
      </c>
      <c r="E1001" s="11" t="n">
        <v>2990</v>
      </c>
      <c r="F1001" s="11" t="n">
        <v>2199</v>
      </c>
      <c r="G1001" s="12" t="n">
        <v>0.26</v>
      </c>
      <c r="H1001" s="13" t="n">
        <v>3.8</v>
      </c>
      <c r="I1001" s="11" t="n">
        <v>1558</v>
      </c>
      <c r="J1001" s="11" t="n">
        <f aca="false">E1001-F1001</f>
        <v>791</v>
      </c>
      <c r="K1001" s="10" t="str">
        <f aca="false">IF(G1001&lt;0.2,"0-19%",IF(G1001&lt;0.4,"20-39%",IF(G1001&lt;0.6,"40-59%",IF(G1001&lt;0.8,"60-79%","80%+"))))</f>
        <v>20-39%</v>
      </c>
      <c r="L1001" s="10" t="str">
        <f aca="false">IF(H1001="","No rating",IF(H1001&lt;3.5,"Below 3.5",IF(H1001&lt;4,"3.5-3.9",IF(H1001&lt;4.5,"4.0-4.4","4.5+"))))</f>
        <v>3.5-3.9</v>
      </c>
    </row>
    <row r="1002" customFormat="false" ht="15" hidden="false" customHeight="false" outlineLevel="0" collapsed="false">
      <c r="A1002" s="10" t="s">
        <v>2037</v>
      </c>
      <c r="B1002" s="10" t="s">
        <v>2038</v>
      </c>
      <c r="C1002" s="10" t="s">
        <v>1181</v>
      </c>
      <c r="D1002" s="10" t="s">
        <v>1851</v>
      </c>
      <c r="E1002" s="11" t="n">
        <v>4295</v>
      </c>
      <c r="F1002" s="11" t="n">
        <v>3699</v>
      </c>
      <c r="G1002" s="12" t="n">
        <v>0.14</v>
      </c>
      <c r="H1002" s="13" t="n">
        <v>4.1</v>
      </c>
      <c r="I1002" s="11" t="n">
        <v>26543</v>
      </c>
      <c r="J1002" s="11" t="n">
        <f aca="false">E1002-F1002</f>
        <v>596</v>
      </c>
      <c r="K1002" s="10" t="str">
        <f aca="false">IF(G1002&lt;0.2,"0-19%",IF(G1002&lt;0.4,"20-39%",IF(G1002&lt;0.6,"40-59%",IF(G1002&lt;0.8,"60-79%","80%+"))))</f>
        <v>0-19%</v>
      </c>
      <c r="L1002" s="10" t="str">
        <f aca="false">IF(H1002="","No rating",IF(H1002&lt;3.5,"Below 3.5",IF(H1002&lt;4,"3.5-3.9",IF(H1002&lt;4.5,"4.0-4.4","4.5+"))))</f>
        <v>4.0-4.4</v>
      </c>
    </row>
    <row r="1003" customFormat="false" ht="15" hidden="false" customHeight="false" outlineLevel="0" collapsed="false">
      <c r="A1003" s="10" t="s">
        <v>2039</v>
      </c>
      <c r="B1003" s="10" t="s">
        <v>2040</v>
      </c>
      <c r="C1003" s="10" t="s">
        <v>1181</v>
      </c>
      <c r="D1003" s="10" t="s">
        <v>1920</v>
      </c>
      <c r="E1003" s="11" t="n">
        <v>199</v>
      </c>
      <c r="F1003" s="11" t="n">
        <v>177</v>
      </c>
      <c r="G1003" s="12" t="n">
        <v>0.11</v>
      </c>
      <c r="H1003" s="13" t="n">
        <v>4.1</v>
      </c>
      <c r="I1003" s="11" t="n">
        <v>3688</v>
      </c>
      <c r="J1003" s="11" t="n">
        <f aca="false">E1003-F1003</f>
        <v>22</v>
      </c>
      <c r="K1003" s="10" t="str">
        <f aca="false">IF(G1003&lt;0.2,"0-19%",IF(G1003&lt;0.4,"20-39%",IF(G1003&lt;0.6,"40-59%",IF(G1003&lt;0.8,"60-79%","80%+"))))</f>
        <v>0-19%</v>
      </c>
      <c r="L1003" s="10" t="str">
        <f aca="false">IF(H1003="","No rating",IF(H1003&lt;3.5,"Below 3.5",IF(H1003&lt;4,"3.5-3.9",IF(H1003&lt;4.5,"4.0-4.4","4.5+"))))</f>
        <v>4.0-4.4</v>
      </c>
    </row>
    <row r="1004" customFormat="false" ht="15" hidden="false" customHeight="false" outlineLevel="0" collapsed="false">
      <c r="A1004" s="10" t="s">
        <v>2041</v>
      </c>
      <c r="B1004" s="10" t="s">
        <v>2042</v>
      </c>
      <c r="C1004" s="10" t="s">
        <v>1181</v>
      </c>
      <c r="D1004" s="10" t="s">
        <v>1851</v>
      </c>
      <c r="E1004" s="11" t="n">
        <v>2499</v>
      </c>
      <c r="F1004" s="11" t="n">
        <v>1149</v>
      </c>
      <c r="G1004" s="12" t="n">
        <v>0.54</v>
      </c>
      <c r="H1004" s="13" t="n">
        <v>3.8</v>
      </c>
      <c r="I1004" s="11" t="n">
        <v>4383</v>
      </c>
      <c r="J1004" s="11" t="n">
        <f aca="false">E1004-F1004</f>
        <v>1350</v>
      </c>
      <c r="K1004" s="10" t="str">
        <f aca="false">IF(G1004&lt;0.2,"0-19%",IF(G1004&lt;0.4,"20-39%",IF(G1004&lt;0.6,"40-59%",IF(G1004&lt;0.8,"60-79%","80%+"))))</f>
        <v>40-59%</v>
      </c>
      <c r="L1004" s="10" t="str">
        <f aca="false">IF(H1004="","No rating",IF(H1004&lt;3.5,"Below 3.5",IF(H1004&lt;4,"3.5-3.9",IF(H1004&lt;4.5,"4.0-4.4","4.5+"))))</f>
        <v>3.5-3.9</v>
      </c>
    </row>
    <row r="1005" customFormat="false" ht="15" hidden="false" customHeight="false" outlineLevel="0" collapsed="false">
      <c r="A1005" s="10" t="s">
        <v>2043</v>
      </c>
      <c r="B1005" s="10" t="s">
        <v>2044</v>
      </c>
      <c r="C1005" s="10" t="s">
        <v>1181</v>
      </c>
      <c r="D1005" s="10" t="s">
        <v>1851</v>
      </c>
      <c r="E1005" s="11" t="n">
        <v>499</v>
      </c>
      <c r="F1005" s="11" t="n">
        <v>244</v>
      </c>
      <c r="G1005" s="12" t="n">
        <v>0.51</v>
      </c>
      <c r="H1005" s="13" t="n">
        <v>3.3</v>
      </c>
      <c r="I1005" s="11" t="n">
        <v>478</v>
      </c>
      <c r="J1005" s="11" t="n">
        <f aca="false">E1005-F1005</f>
        <v>255</v>
      </c>
      <c r="K1005" s="10" t="str">
        <f aca="false">IF(G1005&lt;0.2,"0-19%",IF(G1005&lt;0.4,"20-39%",IF(G1005&lt;0.6,"40-59%",IF(G1005&lt;0.8,"60-79%","80%+"))))</f>
        <v>40-59%</v>
      </c>
      <c r="L1005" s="10" t="str">
        <f aca="false">IF(H1005="","No rating",IF(H1005&lt;3.5,"Below 3.5",IF(H1005&lt;4,"3.5-3.9",IF(H1005&lt;4.5,"4.0-4.4","4.5+"))))</f>
        <v>Below 3.5</v>
      </c>
    </row>
    <row r="1006" customFormat="false" ht="15" hidden="false" customHeight="false" outlineLevel="0" collapsed="false">
      <c r="A1006" s="10" t="s">
        <v>2045</v>
      </c>
      <c r="B1006" s="10" t="s">
        <v>2046</v>
      </c>
      <c r="C1006" s="10" t="s">
        <v>1181</v>
      </c>
      <c r="D1006" s="10" t="s">
        <v>1854</v>
      </c>
      <c r="E1006" s="11" t="n">
        <v>2400</v>
      </c>
      <c r="F1006" s="11" t="n">
        <v>1959</v>
      </c>
      <c r="G1006" s="12" t="n">
        <v>0.18</v>
      </c>
      <c r="H1006" s="13" t="n">
        <v>4</v>
      </c>
      <c r="I1006" s="11" t="n">
        <v>237</v>
      </c>
      <c r="J1006" s="11" t="n">
        <f aca="false">E1006-F1006</f>
        <v>441</v>
      </c>
      <c r="K1006" s="10" t="str">
        <f aca="false">IF(G1006&lt;0.2,"0-19%",IF(G1006&lt;0.4,"20-39%",IF(G1006&lt;0.6,"40-59%",IF(G1006&lt;0.8,"60-79%","80%+"))))</f>
        <v>0-19%</v>
      </c>
      <c r="L1006" s="10" t="str">
        <f aca="false">IF(H1006="","No rating",IF(H1006&lt;3.5,"Below 3.5",IF(H1006&lt;4,"3.5-3.9",IF(H1006&lt;4.5,"4.0-4.4","4.5+"))))</f>
        <v>4.0-4.4</v>
      </c>
    </row>
    <row r="1007" customFormat="false" ht="15" hidden="false" customHeight="false" outlineLevel="0" collapsed="false">
      <c r="A1007" s="10" t="s">
        <v>2047</v>
      </c>
      <c r="B1007" s="10" t="s">
        <v>2048</v>
      </c>
      <c r="C1007" s="10" t="s">
        <v>1181</v>
      </c>
      <c r="D1007" s="10" t="s">
        <v>1851</v>
      </c>
      <c r="E1007" s="11" t="n">
        <v>749</v>
      </c>
      <c r="F1007" s="11" t="n">
        <v>319</v>
      </c>
      <c r="G1007" s="12" t="n">
        <v>0.57</v>
      </c>
      <c r="H1007" s="13" t="n">
        <v>4.6</v>
      </c>
      <c r="I1007" s="11" t="n">
        <v>124</v>
      </c>
      <c r="J1007" s="11" t="n">
        <f aca="false">E1007-F1007</f>
        <v>430</v>
      </c>
      <c r="K1007" s="10" t="str">
        <f aca="false">IF(G1007&lt;0.2,"0-19%",IF(G1007&lt;0.4,"20-39%",IF(G1007&lt;0.6,"40-59%",IF(G1007&lt;0.8,"60-79%","80%+"))))</f>
        <v>40-59%</v>
      </c>
      <c r="L1007" s="10" t="str">
        <f aca="false">IF(H1007="","No rating",IF(H1007&lt;3.5,"Below 3.5",IF(H1007&lt;4,"3.5-3.9",IF(H1007&lt;4.5,"4.0-4.4","4.5+"))))</f>
        <v>4.5+</v>
      </c>
    </row>
    <row r="1008" customFormat="false" ht="15" hidden="false" customHeight="false" outlineLevel="0" collapsed="false">
      <c r="A1008" s="10" t="s">
        <v>2049</v>
      </c>
      <c r="B1008" s="10" t="s">
        <v>2050</v>
      </c>
      <c r="C1008" s="10" t="s">
        <v>1181</v>
      </c>
      <c r="D1008" s="10" t="s">
        <v>1851</v>
      </c>
      <c r="E1008" s="11" t="n">
        <v>1775</v>
      </c>
      <c r="F1008" s="11" t="n">
        <v>1499</v>
      </c>
      <c r="G1008" s="12" t="n">
        <v>0.16</v>
      </c>
      <c r="H1008" s="13" t="n">
        <v>3.9</v>
      </c>
      <c r="I1008" s="11" t="n">
        <v>14667</v>
      </c>
      <c r="J1008" s="11" t="n">
        <f aca="false">E1008-F1008</f>
        <v>276</v>
      </c>
      <c r="K1008" s="10" t="str">
        <f aca="false">IF(G1008&lt;0.2,"0-19%",IF(G1008&lt;0.4,"20-39%",IF(G1008&lt;0.6,"40-59%",IF(G1008&lt;0.8,"60-79%","80%+"))))</f>
        <v>0-19%</v>
      </c>
      <c r="L1008" s="10" t="str">
        <f aca="false">IF(H1008="","No rating",IF(H1008&lt;3.5,"Below 3.5",IF(H1008&lt;4,"3.5-3.9",IF(H1008&lt;4.5,"4.0-4.4","4.5+"))))</f>
        <v>3.5-3.9</v>
      </c>
    </row>
    <row r="1009" customFormat="false" ht="15" hidden="false" customHeight="false" outlineLevel="0" collapsed="false">
      <c r="A1009" s="10" t="s">
        <v>2051</v>
      </c>
      <c r="B1009" s="10" t="s">
        <v>2052</v>
      </c>
      <c r="C1009" s="10" t="s">
        <v>1181</v>
      </c>
      <c r="D1009" s="10" t="s">
        <v>1851</v>
      </c>
      <c r="E1009" s="11" t="n">
        <v>1599</v>
      </c>
      <c r="F1009" s="11" t="n">
        <v>469</v>
      </c>
      <c r="G1009" s="12" t="n">
        <v>0.71</v>
      </c>
      <c r="H1009" s="13" t="n">
        <v>3.7</v>
      </c>
      <c r="I1009" s="11" t="n">
        <v>6</v>
      </c>
      <c r="J1009" s="11" t="n">
        <f aca="false">E1009-F1009</f>
        <v>1130</v>
      </c>
      <c r="K1009" s="10" t="str">
        <f aca="false">IF(G1009&lt;0.2,"0-19%",IF(G1009&lt;0.4,"20-39%",IF(G1009&lt;0.6,"40-59%",IF(G1009&lt;0.8,"60-79%","80%+"))))</f>
        <v>60-79%</v>
      </c>
      <c r="L1009" s="10" t="str">
        <f aca="false">IF(H1009="","No rating",IF(H1009&lt;3.5,"Below 3.5",IF(H1009&lt;4,"3.5-3.9",IF(H1009&lt;4.5,"4.0-4.4","4.5+"))))</f>
        <v>3.5-3.9</v>
      </c>
    </row>
    <row r="1010" customFormat="false" ht="15" hidden="false" customHeight="false" outlineLevel="0" collapsed="false">
      <c r="A1010" s="10" t="s">
        <v>2053</v>
      </c>
      <c r="B1010" s="10" t="s">
        <v>2054</v>
      </c>
      <c r="C1010" s="10" t="s">
        <v>1181</v>
      </c>
      <c r="D1010" s="10" t="s">
        <v>1851</v>
      </c>
      <c r="E1010" s="11" t="n">
        <v>1795</v>
      </c>
      <c r="F1010" s="11" t="n">
        <v>1099</v>
      </c>
      <c r="G1010" s="12" t="n">
        <v>0.39</v>
      </c>
      <c r="H1010" s="13" t="n">
        <v>4.2</v>
      </c>
      <c r="I1010" s="11" t="n">
        <v>4244</v>
      </c>
      <c r="J1010" s="11" t="n">
        <f aca="false">E1010-F1010</f>
        <v>696</v>
      </c>
      <c r="K1010" s="10" t="str">
        <f aca="false">IF(G1010&lt;0.2,"0-19%",IF(G1010&lt;0.4,"20-39%",IF(G1010&lt;0.6,"40-59%",IF(G1010&lt;0.8,"60-79%","80%+"))))</f>
        <v>20-39%</v>
      </c>
      <c r="L1010" s="10" t="str">
        <f aca="false">IF(H1010="","No rating",IF(H1010&lt;3.5,"Below 3.5",IF(H1010&lt;4,"3.5-3.9",IF(H1010&lt;4.5,"4.0-4.4","4.5+"))))</f>
        <v>4.0-4.4</v>
      </c>
    </row>
    <row r="1011" customFormat="false" ht="15" hidden="false" customHeight="false" outlineLevel="0" collapsed="false">
      <c r="A1011" s="10" t="s">
        <v>2055</v>
      </c>
      <c r="B1011" s="10" t="s">
        <v>2056</v>
      </c>
      <c r="C1011" s="10" t="s">
        <v>1181</v>
      </c>
      <c r="D1011" s="10" t="s">
        <v>1854</v>
      </c>
      <c r="E1011" s="11" t="n">
        <v>15999</v>
      </c>
      <c r="F1011" s="11" t="n">
        <v>9590</v>
      </c>
      <c r="G1011" s="12" t="n">
        <v>0.4</v>
      </c>
      <c r="H1011" s="13" t="n">
        <v>4.1</v>
      </c>
      <c r="I1011" s="11" t="n">
        <v>1017</v>
      </c>
      <c r="J1011" s="11" t="n">
        <f aca="false">E1011-F1011</f>
        <v>6409</v>
      </c>
      <c r="K1011" s="10" t="str">
        <f aca="false">IF(G1011&lt;0.2,"0-19%",IF(G1011&lt;0.4,"20-39%",IF(G1011&lt;0.6,"40-59%",IF(G1011&lt;0.8,"60-79%","80%+"))))</f>
        <v>40-59%</v>
      </c>
      <c r="L1011" s="10" t="str">
        <f aca="false">IF(H1011="","No rating",IF(H1011&lt;3.5,"Below 3.5",IF(H1011&lt;4,"3.5-3.9",IF(H1011&lt;4.5,"4.0-4.4","4.5+"))))</f>
        <v>4.0-4.4</v>
      </c>
    </row>
    <row r="1012" customFormat="false" ht="15" hidden="false" customHeight="false" outlineLevel="0" collapsed="false">
      <c r="A1012" s="10" t="s">
        <v>2057</v>
      </c>
      <c r="B1012" s="10" t="s">
        <v>2058</v>
      </c>
      <c r="C1012" s="10" t="s">
        <v>1181</v>
      </c>
      <c r="D1012" s="10" t="s">
        <v>1854</v>
      </c>
      <c r="E1012" s="11" t="n">
        <v>1490</v>
      </c>
      <c r="F1012" s="11" t="n">
        <v>999</v>
      </c>
      <c r="G1012" s="12" t="n">
        <v>0.33</v>
      </c>
      <c r="H1012" s="13" t="n">
        <v>4.1</v>
      </c>
      <c r="I1012" s="11" t="n">
        <v>12999</v>
      </c>
      <c r="J1012" s="11" t="n">
        <f aca="false">E1012-F1012</f>
        <v>491</v>
      </c>
      <c r="K1012" s="10" t="str">
        <f aca="false">IF(G1012&lt;0.2,"0-19%",IF(G1012&lt;0.4,"20-39%",IF(G1012&lt;0.6,"40-59%",IF(G1012&lt;0.8,"60-79%","80%+"))))</f>
        <v>20-39%</v>
      </c>
      <c r="L1012" s="10" t="str">
        <f aca="false">IF(H1012="","No rating",IF(H1012&lt;3.5,"Below 3.5",IF(H1012&lt;4,"3.5-3.9",IF(H1012&lt;4.5,"4.0-4.4","4.5+"))))</f>
        <v>4.0-4.4</v>
      </c>
    </row>
    <row r="1013" customFormat="false" ht="15" hidden="false" customHeight="false" outlineLevel="0" collapsed="false">
      <c r="A1013" s="10" t="s">
        <v>2059</v>
      </c>
      <c r="B1013" s="10" t="s">
        <v>2060</v>
      </c>
      <c r="C1013" s="10" t="s">
        <v>1181</v>
      </c>
      <c r="D1013" s="10" t="s">
        <v>1851</v>
      </c>
      <c r="E1013" s="11" t="n">
        <v>1999</v>
      </c>
      <c r="F1013" s="11" t="n">
        <v>1299</v>
      </c>
      <c r="G1013" s="12" t="n">
        <v>0.35</v>
      </c>
      <c r="H1013" s="13" t="n">
        <v>3.8</v>
      </c>
      <c r="I1013" s="11" t="n">
        <v>311</v>
      </c>
      <c r="J1013" s="11" t="n">
        <f aca="false">E1013-F1013</f>
        <v>700</v>
      </c>
      <c r="K1013" s="10" t="str">
        <f aca="false">IF(G1013&lt;0.2,"0-19%",IF(G1013&lt;0.4,"20-39%",IF(G1013&lt;0.6,"40-59%",IF(G1013&lt;0.8,"60-79%","80%+"))))</f>
        <v>20-39%</v>
      </c>
      <c r="L1013" s="10" t="str">
        <f aca="false">IF(H1013="","No rating",IF(H1013&lt;3.5,"Below 3.5",IF(H1013&lt;4,"3.5-3.9",IF(H1013&lt;4.5,"4.0-4.4","4.5+"))))</f>
        <v>3.5-3.9</v>
      </c>
    </row>
    <row r="1014" customFormat="false" ht="15" hidden="false" customHeight="false" outlineLevel="0" collapsed="false">
      <c r="A1014" s="10" t="s">
        <v>2061</v>
      </c>
      <c r="B1014" s="10" t="s">
        <v>2062</v>
      </c>
      <c r="C1014" s="10" t="s">
        <v>1181</v>
      </c>
      <c r="D1014" s="10" t="s">
        <v>1851</v>
      </c>
      <c r="E1014" s="11" t="n">
        <v>499</v>
      </c>
      <c r="F1014" s="11" t="n">
        <v>292</v>
      </c>
      <c r="G1014" s="12" t="n">
        <v>0.41</v>
      </c>
      <c r="H1014" s="13" t="n">
        <v>4.1</v>
      </c>
      <c r="I1014" s="11" t="n">
        <v>4238</v>
      </c>
      <c r="J1014" s="11" t="n">
        <f aca="false">E1014-F1014</f>
        <v>207</v>
      </c>
      <c r="K1014" s="10" t="str">
        <f aca="false">IF(G1014&lt;0.2,"0-19%",IF(G1014&lt;0.4,"20-39%",IF(G1014&lt;0.6,"40-59%",IF(G1014&lt;0.8,"60-79%","80%+"))))</f>
        <v>40-59%</v>
      </c>
      <c r="L1014" s="10" t="str">
        <f aca="false">IF(H1014="","No rating",IF(H1014&lt;3.5,"Below 3.5",IF(H1014&lt;4,"3.5-3.9",IF(H1014&lt;4.5,"4.0-4.4","4.5+"))))</f>
        <v>4.0-4.4</v>
      </c>
    </row>
    <row r="1015" customFormat="false" ht="15" hidden="false" customHeight="false" outlineLevel="0" collapsed="false">
      <c r="A1015" s="10" t="s">
        <v>2063</v>
      </c>
      <c r="B1015" s="10" t="s">
        <v>2064</v>
      </c>
      <c r="C1015" s="10" t="s">
        <v>1181</v>
      </c>
      <c r="D1015" s="10" t="s">
        <v>1851</v>
      </c>
      <c r="E1015" s="11" t="n">
        <v>299</v>
      </c>
      <c r="F1015" s="11" t="n">
        <v>160</v>
      </c>
      <c r="G1015" s="12" t="n">
        <v>0.46</v>
      </c>
      <c r="H1015" s="13" t="n">
        <v>4.6</v>
      </c>
      <c r="I1015" s="11" t="n">
        <v>2781</v>
      </c>
      <c r="J1015" s="11" t="n">
        <f aca="false">E1015-F1015</f>
        <v>139</v>
      </c>
      <c r="K1015" s="10" t="str">
        <f aca="false">IF(G1015&lt;0.2,"0-19%",IF(G1015&lt;0.4,"20-39%",IF(G1015&lt;0.6,"40-59%",IF(G1015&lt;0.8,"60-79%","80%+"))))</f>
        <v>40-59%</v>
      </c>
      <c r="L1015" s="10" t="str">
        <f aca="false">IF(H1015="","No rating",IF(H1015&lt;3.5,"Below 3.5",IF(H1015&lt;4,"3.5-3.9",IF(H1015&lt;4.5,"4.0-4.4","4.5+"))))</f>
        <v>4.5+</v>
      </c>
    </row>
    <row r="1016" customFormat="false" ht="15" hidden="false" customHeight="false" outlineLevel="0" collapsed="false">
      <c r="A1016" s="10" t="s">
        <v>2065</v>
      </c>
      <c r="B1016" s="10" t="s">
        <v>2066</v>
      </c>
      <c r="C1016" s="10" t="s">
        <v>1181</v>
      </c>
      <c r="D1016" s="10" t="s">
        <v>1851</v>
      </c>
      <c r="E1016" s="11" t="n">
        <v>600</v>
      </c>
      <c r="F1016" s="11" t="n">
        <v>600</v>
      </c>
      <c r="G1016" s="12" t="n">
        <v>0</v>
      </c>
      <c r="H1016" s="13" t="n">
        <v>4.1</v>
      </c>
      <c r="I1016" s="11" t="n">
        <v>10907</v>
      </c>
      <c r="J1016" s="11" t="n">
        <f aca="false">E1016-F1016</f>
        <v>0</v>
      </c>
      <c r="K1016" s="10" t="str">
        <f aca="false">IF(G1016&lt;0.2,"0-19%",IF(G1016&lt;0.4,"20-39%",IF(G1016&lt;0.6,"40-59%",IF(G1016&lt;0.8,"60-79%","80%+"))))</f>
        <v>0-19%</v>
      </c>
      <c r="L1016" s="10" t="str">
        <f aca="false">IF(H1016="","No rating",IF(H1016&lt;3.5,"Below 3.5",IF(H1016&lt;4,"3.5-3.9",IF(H1016&lt;4.5,"4.0-4.4","4.5+"))))</f>
        <v>4.0-4.4</v>
      </c>
    </row>
    <row r="1017" customFormat="false" ht="15" hidden="false" customHeight="false" outlineLevel="0" collapsed="false">
      <c r="A1017" s="10" t="s">
        <v>2067</v>
      </c>
      <c r="B1017" s="10" t="s">
        <v>2068</v>
      </c>
      <c r="C1017" s="10" t="s">
        <v>1181</v>
      </c>
      <c r="D1017" s="10" t="s">
        <v>1851</v>
      </c>
      <c r="E1017" s="11" t="n">
        <v>1130</v>
      </c>
      <c r="F1017" s="11" t="n">
        <v>1130</v>
      </c>
      <c r="G1017" s="12" t="n">
        <v>0</v>
      </c>
      <c r="H1017" s="13" t="n">
        <v>4.2</v>
      </c>
      <c r="I1017" s="11" t="n">
        <v>13250</v>
      </c>
      <c r="J1017" s="11" t="n">
        <f aca="false">E1017-F1017</f>
        <v>0</v>
      </c>
      <c r="K1017" s="10" t="str">
        <f aca="false">IF(G1017&lt;0.2,"0-19%",IF(G1017&lt;0.4,"20-39%",IF(G1017&lt;0.6,"40-59%",IF(G1017&lt;0.8,"60-79%","80%+"))))</f>
        <v>0-19%</v>
      </c>
      <c r="L1017" s="10" t="str">
        <f aca="false">IF(H1017="","No rating",IF(H1017&lt;3.5,"Below 3.5",IF(H1017&lt;4,"3.5-3.9",IF(H1017&lt;4.5,"4.0-4.4","4.5+"))))</f>
        <v>4.0-4.4</v>
      </c>
    </row>
    <row r="1018" customFormat="false" ht="15" hidden="false" customHeight="false" outlineLevel="0" collapsed="false">
      <c r="A1018" s="10" t="s">
        <v>2069</v>
      </c>
      <c r="B1018" s="10" t="s">
        <v>2070</v>
      </c>
      <c r="C1018" s="10" t="s">
        <v>1181</v>
      </c>
      <c r="D1018" s="10" t="s">
        <v>1851</v>
      </c>
      <c r="E1018" s="11" t="n">
        <v>6295</v>
      </c>
      <c r="F1018" s="11" t="n">
        <v>3249</v>
      </c>
      <c r="G1018" s="12" t="n">
        <v>0.48</v>
      </c>
      <c r="H1018" s="13" t="n">
        <v>3.9</v>
      </c>
      <c r="I1018" s="11" t="n">
        <v>43070</v>
      </c>
      <c r="J1018" s="11" t="n">
        <f aca="false">E1018-F1018</f>
        <v>3046</v>
      </c>
      <c r="K1018" s="10" t="str">
        <f aca="false">IF(G1018&lt;0.2,"0-19%",IF(G1018&lt;0.4,"20-39%",IF(G1018&lt;0.6,"40-59%",IF(G1018&lt;0.8,"60-79%","80%+"))))</f>
        <v>40-59%</v>
      </c>
      <c r="L1018" s="10" t="str">
        <f aca="false">IF(H1018="","No rating",IF(H1018&lt;3.5,"Below 3.5",IF(H1018&lt;4,"3.5-3.9",IF(H1018&lt;4.5,"4.0-4.4","4.5+"))))</f>
        <v>3.5-3.9</v>
      </c>
    </row>
    <row r="1019" customFormat="false" ht="15" hidden="false" customHeight="false" outlineLevel="0" collapsed="false">
      <c r="A1019" s="10" t="s">
        <v>2071</v>
      </c>
      <c r="B1019" s="10" t="s">
        <v>2072</v>
      </c>
      <c r="C1019" s="10" t="s">
        <v>1181</v>
      </c>
      <c r="D1019" s="10" t="s">
        <v>1851</v>
      </c>
      <c r="E1019" s="11" t="n">
        <v>9455</v>
      </c>
      <c r="F1019" s="11" t="n">
        <v>3599</v>
      </c>
      <c r="G1019" s="12" t="n">
        <v>0.62</v>
      </c>
      <c r="H1019" s="13" t="n">
        <v>4.1</v>
      </c>
      <c r="I1019" s="11" t="n">
        <v>11828</v>
      </c>
      <c r="J1019" s="11" t="n">
        <f aca="false">E1019-F1019</f>
        <v>5856</v>
      </c>
      <c r="K1019" s="10" t="str">
        <f aca="false">IF(G1019&lt;0.2,"0-19%",IF(G1019&lt;0.4,"20-39%",IF(G1019&lt;0.6,"40-59%",IF(G1019&lt;0.8,"60-79%","80%+"))))</f>
        <v>60-79%</v>
      </c>
      <c r="L1019" s="10" t="str">
        <f aca="false">IF(H1019="","No rating",IF(H1019&lt;3.5,"Below 3.5",IF(H1019&lt;4,"3.5-3.9",IF(H1019&lt;4.5,"4.0-4.4","4.5+"))))</f>
        <v>4.0-4.4</v>
      </c>
    </row>
    <row r="1020" customFormat="false" ht="15" hidden="false" customHeight="false" outlineLevel="0" collapsed="false">
      <c r="A1020" s="10" t="s">
        <v>2073</v>
      </c>
      <c r="B1020" s="10" t="s">
        <v>2074</v>
      </c>
      <c r="C1020" s="10" t="s">
        <v>1181</v>
      </c>
      <c r="D1020" s="10" t="s">
        <v>1851</v>
      </c>
      <c r="E1020" s="11" t="n">
        <v>699</v>
      </c>
      <c r="F1020" s="11" t="n">
        <v>368</v>
      </c>
      <c r="G1020" s="12" t="n">
        <v>0.47</v>
      </c>
      <c r="H1020" s="13" t="n">
        <v>4.1</v>
      </c>
      <c r="I1020" s="11" t="n">
        <v>1240</v>
      </c>
      <c r="J1020" s="11" t="n">
        <f aca="false">E1020-F1020</f>
        <v>331</v>
      </c>
      <c r="K1020" s="10" t="str">
        <f aca="false">IF(G1020&lt;0.2,"0-19%",IF(G1020&lt;0.4,"20-39%",IF(G1020&lt;0.6,"40-59%",IF(G1020&lt;0.8,"60-79%","80%+"))))</f>
        <v>40-59%</v>
      </c>
      <c r="L1020" s="10" t="str">
        <f aca="false">IF(H1020="","No rating",IF(H1020&lt;3.5,"Below 3.5",IF(H1020&lt;4,"3.5-3.9",IF(H1020&lt;4.5,"4.0-4.4","4.5+"))))</f>
        <v>4.0-4.4</v>
      </c>
    </row>
    <row r="1021" customFormat="false" ht="15" hidden="false" customHeight="false" outlineLevel="0" collapsed="false">
      <c r="A1021" s="10" t="s">
        <v>2075</v>
      </c>
      <c r="B1021" s="10" t="s">
        <v>2076</v>
      </c>
      <c r="C1021" s="10" t="s">
        <v>1181</v>
      </c>
      <c r="D1021" s="10" t="s">
        <v>1851</v>
      </c>
      <c r="E1021" s="11" t="n">
        <v>4999</v>
      </c>
      <c r="F1021" s="11" t="n">
        <v>3199</v>
      </c>
      <c r="G1021" s="12" t="n">
        <v>0.36</v>
      </c>
      <c r="H1021" s="13" t="n">
        <v>4</v>
      </c>
      <c r="I1021" s="11" t="n">
        <v>20869</v>
      </c>
      <c r="J1021" s="11" t="n">
        <f aca="false">E1021-F1021</f>
        <v>1800</v>
      </c>
      <c r="K1021" s="10" t="str">
        <f aca="false">IF(G1021&lt;0.2,"0-19%",IF(G1021&lt;0.4,"20-39%",IF(G1021&lt;0.6,"40-59%",IF(G1021&lt;0.8,"60-79%","80%+"))))</f>
        <v>20-39%</v>
      </c>
      <c r="L1021" s="10" t="str">
        <f aca="false">IF(H1021="","No rating",IF(H1021&lt;3.5,"Below 3.5",IF(H1021&lt;4,"3.5-3.9",IF(H1021&lt;4.5,"4.0-4.4","4.5+"))))</f>
        <v>4.0-4.4</v>
      </c>
    </row>
    <row r="1022" customFormat="false" ht="15" hidden="false" customHeight="false" outlineLevel="0" collapsed="false">
      <c r="A1022" s="10" t="s">
        <v>2077</v>
      </c>
      <c r="B1022" s="10" t="s">
        <v>2078</v>
      </c>
      <c r="C1022" s="10" t="s">
        <v>1181</v>
      </c>
      <c r="D1022" s="10" t="s">
        <v>1851</v>
      </c>
      <c r="E1022" s="11" t="n">
        <v>2900</v>
      </c>
      <c r="F1022" s="11" t="n">
        <v>1599</v>
      </c>
      <c r="G1022" s="12" t="n">
        <v>0.45</v>
      </c>
      <c r="H1022" s="13" t="n">
        <v>3.7</v>
      </c>
      <c r="I1022" s="11" t="n">
        <v>441</v>
      </c>
      <c r="J1022" s="11" t="n">
        <f aca="false">E1022-F1022</f>
        <v>1301</v>
      </c>
      <c r="K1022" s="10" t="str">
        <f aca="false">IF(G1022&lt;0.2,"0-19%",IF(G1022&lt;0.4,"20-39%",IF(G1022&lt;0.6,"40-59%",IF(G1022&lt;0.8,"60-79%","80%+"))))</f>
        <v>40-59%</v>
      </c>
      <c r="L1022" s="10" t="str">
        <f aca="false">IF(H1022="","No rating",IF(H1022&lt;3.5,"Below 3.5",IF(H1022&lt;4,"3.5-3.9",IF(H1022&lt;4.5,"4.0-4.4","4.5+"))))</f>
        <v>3.5-3.9</v>
      </c>
    </row>
    <row r="1023" customFormat="false" ht="15" hidden="false" customHeight="false" outlineLevel="0" collapsed="false">
      <c r="A1023" s="10" t="s">
        <v>2079</v>
      </c>
      <c r="B1023" s="10" t="s">
        <v>2080</v>
      </c>
      <c r="C1023" s="10" t="s">
        <v>1181</v>
      </c>
      <c r="D1023" s="10" t="s">
        <v>1851</v>
      </c>
      <c r="E1023" s="11" t="n">
        <v>2499</v>
      </c>
      <c r="F1023" s="11" t="n">
        <v>1999</v>
      </c>
      <c r="G1023" s="12" t="n">
        <v>0.2</v>
      </c>
      <c r="H1023" s="13" t="n">
        <v>4.1</v>
      </c>
      <c r="I1023" s="11" t="n">
        <v>1034</v>
      </c>
      <c r="J1023" s="11" t="n">
        <f aca="false">E1023-F1023</f>
        <v>500</v>
      </c>
      <c r="K1023" s="10" t="str">
        <f aca="false">IF(G1023&lt;0.2,"0-19%",IF(G1023&lt;0.4,"20-39%",IF(G1023&lt;0.6,"40-59%",IF(G1023&lt;0.8,"60-79%","80%+"))))</f>
        <v>20-39%</v>
      </c>
      <c r="L1023" s="10" t="str">
        <f aca="false">IF(H1023="","No rating",IF(H1023&lt;3.5,"Below 3.5",IF(H1023&lt;4,"3.5-3.9",IF(H1023&lt;4.5,"4.0-4.4","4.5+"))))</f>
        <v>4.0-4.4</v>
      </c>
    </row>
    <row r="1024" customFormat="false" ht="15" hidden="false" customHeight="false" outlineLevel="0" collapsed="false">
      <c r="A1024" s="10" t="s">
        <v>2081</v>
      </c>
      <c r="B1024" s="10" t="s">
        <v>2082</v>
      </c>
      <c r="C1024" s="10" t="s">
        <v>1181</v>
      </c>
      <c r="D1024" s="10" t="s">
        <v>1851</v>
      </c>
      <c r="E1024" s="11" t="n">
        <v>1190</v>
      </c>
      <c r="F1024" s="11" t="n">
        <v>616</v>
      </c>
      <c r="G1024" s="12" t="n">
        <v>0.48</v>
      </c>
      <c r="H1024" s="13" t="n">
        <v>4.1</v>
      </c>
      <c r="I1024" s="11" t="n">
        <v>37126</v>
      </c>
      <c r="J1024" s="11" t="n">
        <f aca="false">E1024-F1024</f>
        <v>574</v>
      </c>
      <c r="K1024" s="10" t="str">
        <f aca="false">IF(G1024&lt;0.2,"0-19%",IF(G1024&lt;0.4,"20-39%",IF(G1024&lt;0.6,"40-59%",IF(G1024&lt;0.8,"60-79%","80%+"))))</f>
        <v>40-59%</v>
      </c>
      <c r="L1024" s="10" t="str">
        <f aca="false">IF(H1024="","No rating",IF(H1024&lt;3.5,"Below 3.5",IF(H1024&lt;4,"3.5-3.9",IF(H1024&lt;4.5,"4.0-4.4","4.5+"))))</f>
        <v>4.0-4.4</v>
      </c>
    </row>
    <row r="1025" customFormat="false" ht="15" hidden="false" customHeight="false" outlineLevel="0" collapsed="false">
      <c r="A1025" s="10" t="s">
        <v>2083</v>
      </c>
      <c r="B1025" s="10" t="s">
        <v>2084</v>
      </c>
      <c r="C1025" s="10" t="s">
        <v>1181</v>
      </c>
      <c r="D1025" s="10" t="s">
        <v>1851</v>
      </c>
      <c r="E1025" s="11" t="n">
        <v>2100</v>
      </c>
      <c r="F1025" s="11" t="n">
        <v>1499</v>
      </c>
      <c r="G1025" s="12" t="n">
        <v>0.29</v>
      </c>
      <c r="H1025" s="13" t="n">
        <v>4.1</v>
      </c>
      <c r="I1025" s="11" t="n">
        <v>6355</v>
      </c>
      <c r="J1025" s="11" t="n">
        <f aca="false">E1025-F1025</f>
        <v>601</v>
      </c>
      <c r="K1025" s="10" t="str">
        <f aca="false">IF(G1025&lt;0.2,"0-19%",IF(G1025&lt;0.4,"20-39%",IF(G1025&lt;0.6,"40-59%",IF(G1025&lt;0.8,"60-79%","80%+"))))</f>
        <v>20-39%</v>
      </c>
      <c r="L1025" s="10" t="str">
        <f aca="false">IF(H1025="","No rating",IF(H1025&lt;3.5,"Below 3.5",IF(H1025&lt;4,"3.5-3.9",IF(H1025&lt;4.5,"4.0-4.4","4.5+"))))</f>
        <v>4.0-4.4</v>
      </c>
    </row>
    <row r="1026" customFormat="false" ht="15" hidden="false" customHeight="false" outlineLevel="0" collapsed="false">
      <c r="A1026" s="10" t="s">
        <v>2085</v>
      </c>
      <c r="B1026" s="10" t="s">
        <v>2086</v>
      </c>
      <c r="C1026" s="10" t="s">
        <v>1181</v>
      </c>
      <c r="D1026" s="10" t="s">
        <v>1851</v>
      </c>
      <c r="E1026" s="11" t="n">
        <v>499</v>
      </c>
      <c r="F1026" s="11" t="n">
        <v>199</v>
      </c>
      <c r="G1026" s="12" t="n">
        <v>0.6</v>
      </c>
      <c r="H1026" s="13" t="n">
        <v>3.3</v>
      </c>
      <c r="I1026" s="11" t="n">
        <v>12</v>
      </c>
      <c r="J1026" s="11" t="n">
        <f aca="false">E1026-F1026</f>
        <v>300</v>
      </c>
      <c r="K1026" s="10" t="str">
        <f aca="false">IF(G1026&lt;0.2,"0-19%",IF(G1026&lt;0.4,"20-39%",IF(G1026&lt;0.6,"40-59%",IF(G1026&lt;0.8,"60-79%","80%+"))))</f>
        <v>60-79%</v>
      </c>
      <c r="L1026" s="10" t="str">
        <f aca="false">IF(H1026="","No rating",IF(H1026&lt;3.5,"Below 3.5",IF(H1026&lt;4,"3.5-3.9",IF(H1026&lt;4.5,"4.0-4.4","4.5+"))))</f>
        <v>Below 3.5</v>
      </c>
    </row>
    <row r="1027" customFormat="false" ht="15" hidden="false" customHeight="false" outlineLevel="0" collapsed="false">
      <c r="A1027" s="10" t="s">
        <v>2087</v>
      </c>
      <c r="B1027" s="10" t="s">
        <v>2088</v>
      </c>
      <c r="C1027" s="10" t="s">
        <v>1181</v>
      </c>
      <c r="D1027" s="10" t="s">
        <v>1854</v>
      </c>
      <c r="E1027" s="11" t="n">
        <v>825</v>
      </c>
      <c r="F1027" s="11" t="n">
        <v>610</v>
      </c>
      <c r="G1027" s="12" t="n">
        <v>0.26</v>
      </c>
      <c r="H1027" s="13" t="n">
        <v>4.1</v>
      </c>
      <c r="I1027" s="11" t="n">
        <v>13165</v>
      </c>
      <c r="J1027" s="11" t="n">
        <f aca="false">E1027-F1027</f>
        <v>215</v>
      </c>
      <c r="K1027" s="10" t="str">
        <f aca="false">IF(G1027&lt;0.2,"0-19%",IF(G1027&lt;0.4,"20-39%",IF(G1027&lt;0.6,"40-59%",IF(G1027&lt;0.8,"60-79%","80%+"))))</f>
        <v>20-39%</v>
      </c>
      <c r="L1027" s="10" t="str">
        <f aca="false">IF(H1027="","No rating",IF(H1027&lt;3.5,"Below 3.5",IF(H1027&lt;4,"3.5-3.9",IF(H1027&lt;4.5,"4.0-4.4","4.5+"))))</f>
        <v>4.0-4.4</v>
      </c>
    </row>
    <row r="1028" customFormat="false" ht="15" hidden="false" customHeight="false" outlineLevel="0" collapsed="false">
      <c r="A1028" s="10" t="s">
        <v>2089</v>
      </c>
      <c r="B1028" s="10" t="s">
        <v>2090</v>
      </c>
      <c r="C1028" s="10" t="s">
        <v>1181</v>
      </c>
      <c r="D1028" s="10" t="s">
        <v>1851</v>
      </c>
      <c r="E1028" s="11" t="n">
        <v>1499</v>
      </c>
      <c r="F1028" s="11" t="n">
        <v>999</v>
      </c>
      <c r="G1028" s="12" t="n">
        <v>0.33</v>
      </c>
      <c r="H1028" s="13" t="n">
        <v>4.1</v>
      </c>
      <c r="I1028" s="11" t="n">
        <v>1646</v>
      </c>
      <c r="J1028" s="11" t="n">
        <f aca="false">E1028-F1028</f>
        <v>500</v>
      </c>
      <c r="K1028" s="10" t="str">
        <f aca="false">IF(G1028&lt;0.2,"0-19%",IF(G1028&lt;0.4,"20-39%",IF(G1028&lt;0.6,"40-59%",IF(G1028&lt;0.8,"60-79%","80%+"))))</f>
        <v>20-39%</v>
      </c>
      <c r="L1028" s="10" t="str">
        <f aca="false">IF(H1028="","No rating",IF(H1028&lt;3.5,"Below 3.5",IF(H1028&lt;4,"3.5-3.9",IF(H1028&lt;4.5,"4.0-4.4","4.5+"))))</f>
        <v>4.0-4.4</v>
      </c>
    </row>
    <row r="1029" customFormat="false" ht="15" hidden="false" customHeight="false" outlineLevel="0" collapsed="false">
      <c r="A1029" s="10" t="s">
        <v>2091</v>
      </c>
      <c r="B1029" s="10" t="s">
        <v>2092</v>
      </c>
      <c r="C1029" s="10" t="s">
        <v>1181</v>
      </c>
      <c r="D1029" s="10" t="s">
        <v>1851</v>
      </c>
      <c r="E1029" s="11" t="n">
        <v>9995</v>
      </c>
      <c r="F1029" s="11" t="n">
        <v>8999</v>
      </c>
      <c r="G1029" s="12" t="n">
        <v>0.1</v>
      </c>
      <c r="H1029" s="13" t="n">
        <v>4.4</v>
      </c>
      <c r="I1029" s="11" t="n">
        <v>17994</v>
      </c>
      <c r="J1029" s="11" t="n">
        <f aca="false">E1029-F1029</f>
        <v>996</v>
      </c>
      <c r="K1029" s="10" t="str">
        <f aca="false">IF(G1029&lt;0.2,"0-19%",IF(G1029&lt;0.4,"20-39%",IF(G1029&lt;0.6,"40-59%",IF(G1029&lt;0.8,"60-79%","80%+"))))</f>
        <v>0-19%</v>
      </c>
      <c r="L1029" s="10" t="str">
        <f aca="false">IF(H1029="","No rating",IF(H1029&lt;3.5,"Below 3.5",IF(H1029&lt;4,"3.5-3.9",IF(H1029&lt;4.5,"4.0-4.4","4.5+"))))</f>
        <v>4.0-4.4</v>
      </c>
    </row>
    <row r="1030" customFormat="false" ht="15" hidden="false" customHeight="false" outlineLevel="0" collapsed="false">
      <c r="A1030" s="10" t="s">
        <v>2093</v>
      </c>
      <c r="B1030" s="10" t="s">
        <v>2094</v>
      </c>
      <c r="C1030" s="10" t="s">
        <v>1181</v>
      </c>
      <c r="D1030" s="10" t="s">
        <v>1851</v>
      </c>
      <c r="E1030" s="11" t="n">
        <v>999</v>
      </c>
      <c r="F1030" s="11" t="n">
        <v>453</v>
      </c>
      <c r="G1030" s="12" t="n">
        <v>0.55</v>
      </c>
      <c r="H1030" s="13" t="n">
        <v>4.3</v>
      </c>
      <c r="I1030" s="11" t="n">
        <v>610</v>
      </c>
      <c r="J1030" s="11" t="n">
        <f aca="false">E1030-F1030</f>
        <v>546</v>
      </c>
      <c r="K1030" s="10" t="str">
        <f aca="false">IF(G1030&lt;0.2,"0-19%",IF(G1030&lt;0.4,"20-39%",IF(G1030&lt;0.6,"40-59%",IF(G1030&lt;0.8,"60-79%","80%+"))))</f>
        <v>40-59%</v>
      </c>
      <c r="L1030" s="10" t="str">
        <f aca="false">IF(H1030="","No rating",IF(H1030&lt;3.5,"Below 3.5",IF(H1030&lt;4,"3.5-3.9",IF(H1030&lt;4.5,"4.0-4.4","4.5+"))))</f>
        <v>4.0-4.4</v>
      </c>
    </row>
    <row r="1031" customFormat="false" ht="15" hidden="false" customHeight="false" outlineLevel="0" collapsed="false">
      <c r="A1031" s="10" t="s">
        <v>2095</v>
      </c>
      <c r="B1031" s="10" t="s">
        <v>2096</v>
      </c>
      <c r="C1031" s="10" t="s">
        <v>1181</v>
      </c>
      <c r="D1031" s="10" t="s">
        <v>1851</v>
      </c>
      <c r="E1031" s="11" t="n">
        <v>6000</v>
      </c>
      <c r="F1031" s="11" t="n">
        <v>2464</v>
      </c>
      <c r="G1031" s="12" t="n">
        <v>0.59</v>
      </c>
      <c r="H1031" s="13" t="n">
        <v>4.1</v>
      </c>
      <c r="I1031" s="11" t="n">
        <v>8866</v>
      </c>
      <c r="J1031" s="11" t="n">
        <f aca="false">E1031-F1031</f>
        <v>3536</v>
      </c>
      <c r="K1031" s="10" t="str">
        <f aca="false">IF(G1031&lt;0.2,"0-19%",IF(G1031&lt;0.4,"20-39%",IF(G1031&lt;0.6,"40-59%",IF(G1031&lt;0.8,"60-79%","80%+"))))</f>
        <v>40-59%</v>
      </c>
      <c r="L1031" s="10" t="str">
        <f aca="false">IF(H1031="","No rating",IF(H1031&lt;3.5,"Below 3.5",IF(H1031&lt;4,"3.5-3.9",IF(H1031&lt;4.5,"4.0-4.4","4.5+"))))</f>
        <v>4.0-4.4</v>
      </c>
    </row>
    <row r="1032" customFormat="false" ht="15" hidden="false" customHeight="false" outlineLevel="0" collapsed="false">
      <c r="A1032" s="10" t="s">
        <v>2097</v>
      </c>
      <c r="B1032" s="10" t="s">
        <v>2098</v>
      </c>
      <c r="C1032" s="10" t="s">
        <v>1181</v>
      </c>
      <c r="D1032" s="10" t="s">
        <v>1851</v>
      </c>
      <c r="E1032" s="11" t="n">
        <v>3945</v>
      </c>
      <c r="F1032" s="11" t="n">
        <v>2719</v>
      </c>
      <c r="G1032" s="12" t="n">
        <v>0.31</v>
      </c>
      <c r="H1032" s="13" t="n">
        <v>3.7</v>
      </c>
      <c r="I1032" s="11" t="n">
        <v>13406</v>
      </c>
      <c r="J1032" s="11" t="n">
        <f aca="false">E1032-F1032</f>
        <v>1226</v>
      </c>
      <c r="K1032" s="10" t="str">
        <f aca="false">IF(G1032&lt;0.2,"0-19%",IF(G1032&lt;0.4,"20-39%",IF(G1032&lt;0.6,"40-59%",IF(G1032&lt;0.8,"60-79%","80%+"))))</f>
        <v>20-39%</v>
      </c>
      <c r="L1032" s="10" t="str">
        <f aca="false">IF(H1032="","No rating",IF(H1032&lt;3.5,"Below 3.5",IF(H1032&lt;4,"3.5-3.9",IF(H1032&lt;4.5,"4.0-4.4","4.5+"))))</f>
        <v>3.5-3.9</v>
      </c>
    </row>
    <row r="1033" customFormat="false" ht="15" hidden="false" customHeight="false" outlineLevel="0" collapsed="false">
      <c r="A1033" s="10" t="s">
        <v>2099</v>
      </c>
      <c r="B1033" s="10" t="s">
        <v>2100</v>
      </c>
      <c r="C1033" s="10" t="s">
        <v>1181</v>
      </c>
      <c r="D1033" s="10" t="s">
        <v>1854</v>
      </c>
      <c r="E1033" s="11" t="n">
        <v>1999</v>
      </c>
      <c r="F1033" s="11" t="n">
        <v>1439</v>
      </c>
      <c r="G1033" s="12" t="n">
        <v>0.28</v>
      </c>
      <c r="H1033" s="13" t="n">
        <v>4.8</v>
      </c>
      <c r="I1033" s="11" t="n">
        <v>53803</v>
      </c>
      <c r="J1033" s="11" t="n">
        <f aca="false">E1033-F1033</f>
        <v>560</v>
      </c>
      <c r="K1033" s="10" t="str">
        <f aca="false">IF(G1033&lt;0.2,"0-19%",IF(G1033&lt;0.4,"20-39%",IF(G1033&lt;0.6,"40-59%",IF(G1033&lt;0.8,"60-79%","80%+"))))</f>
        <v>20-39%</v>
      </c>
      <c r="L1033" s="10" t="str">
        <f aca="false">IF(H1033="","No rating",IF(H1033&lt;3.5,"Below 3.5",IF(H1033&lt;4,"3.5-3.9",IF(H1033&lt;4.5,"4.0-4.4","4.5+"))))</f>
        <v>4.5+</v>
      </c>
    </row>
    <row r="1034" customFormat="false" ht="15" hidden="false" customHeight="false" outlineLevel="0" collapsed="false">
      <c r="A1034" s="10" t="s">
        <v>2101</v>
      </c>
      <c r="B1034" s="10" t="s">
        <v>2102</v>
      </c>
      <c r="C1034" s="10" t="s">
        <v>1181</v>
      </c>
      <c r="D1034" s="10" t="s">
        <v>1851</v>
      </c>
      <c r="E1034" s="11" t="n">
        <v>3499</v>
      </c>
      <c r="F1034" s="11" t="n">
        <v>2799</v>
      </c>
      <c r="G1034" s="12" t="n">
        <v>0.2</v>
      </c>
      <c r="H1034" s="13" t="n">
        <v>4.5</v>
      </c>
      <c r="I1034" s="11" t="n">
        <v>546</v>
      </c>
      <c r="J1034" s="11" t="n">
        <f aca="false">E1034-F1034</f>
        <v>700</v>
      </c>
      <c r="K1034" s="10" t="str">
        <f aca="false">IF(G1034&lt;0.2,"0-19%",IF(G1034&lt;0.4,"20-39%",IF(G1034&lt;0.6,"40-59%",IF(G1034&lt;0.8,"60-79%","80%+"))))</f>
        <v>20-39%</v>
      </c>
      <c r="L1034" s="10" t="str">
        <f aca="false">IF(H1034="","No rating",IF(H1034&lt;3.5,"Below 3.5",IF(H1034&lt;4,"3.5-3.9",IF(H1034&lt;4.5,"4.0-4.4","4.5+"))))</f>
        <v>4.5+</v>
      </c>
    </row>
    <row r="1035" customFormat="false" ht="15" hidden="false" customHeight="false" outlineLevel="0" collapsed="false">
      <c r="A1035" s="10" t="s">
        <v>2103</v>
      </c>
      <c r="B1035" s="10" t="s">
        <v>2104</v>
      </c>
      <c r="C1035" s="10" t="s">
        <v>1181</v>
      </c>
      <c r="D1035" s="10" t="s">
        <v>1854</v>
      </c>
      <c r="E1035" s="11" t="n">
        <v>5550</v>
      </c>
      <c r="F1035" s="11" t="n">
        <v>2088</v>
      </c>
      <c r="G1035" s="12" t="n">
        <v>0.62</v>
      </c>
      <c r="H1035" s="13" t="n">
        <v>4</v>
      </c>
      <c r="I1035" s="11" t="n">
        <v>5292</v>
      </c>
      <c r="J1035" s="11" t="n">
        <f aca="false">E1035-F1035</f>
        <v>3462</v>
      </c>
      <c r="K1035" s="10" t="str">
        <f aca="false">IF(G1035&lt;0.2,"0-19%",IF(G1035&lt;0.4,"20-39%",IF(G1035&lt;0.6,"40-59%",IF(G1035&lt;0.8,"60-79%","80%+"))))</f>
        <v>60-79%</v>
      </c>
      <c r="L1035" s="10" t="str">
        <f aca="false">IF(H1035="","No rating",IF(H1035&lt;3.5,"Below 3.5",IF(H1035&lt;4,"3.5-3.9",IF(H1035&lt;4.5,"4.0-4.4","4.5+"))))</f>
        <v>4.0-4.4</v>
      </c>
    </row>
    <row r="1036" customFormat="false" ht="15" hidden="false" customHeight="false" outlineLevel="0" collapsed="false">
      <c r="A1036" s="10" t="s">
        <v>2105</v>
      </c>
      <c r="B1036" s="10" t="s">
        <v>2106</v>
      </c>
      <c r="C1036" s="10" t="s">
        <v>1181</v>
      </c>
      <c r="D1036" s="10" t="s">
        <v>1854</v>
      </c>
      <c r="E1036" s="11" t="n">
        <v>4590</v>
      </c>
      <c r="F1036" s="11" t="n">
        <v>2399</v>
      </c>
      <c r="G1036" s="12" t="n">
        <v>0.48</v>
      </c>
      <c r="H1036" s="13" t="n">
        <v>4.1</v>
      </c>
      <c r="I1036" s="11" t="n">
        <v>444</v>
      </c>
      <c r="J1036" s="11" t="n">
        <f aca="false">E1036-F1036</f>
        <v>2191</v>
      </c>
      <c r="K1036" s="10" t="str">
        <f aca="false">IF(G1036&lt;0.2,"0-19%",IF(G1036&lt;0.4,"20-39%",IF(G1036&lt;0.6,"40-59%",IF(G1036&lt;0.8,"60-79%","80%+"))))</f>
        <v>40-59%</v>
      </c>
      <c r="L1036" s="10" t="str">
        <f aca="false">IF(H1036="","No rating",IF(H1036&lt;3.5,"Below 3.5",IF(H1036&lt;4,"3.5-3.9",IF(H1036&lt;4.5,"4.0-4.4","4.5+"))))</f>
        <v>4.0-4.4</v>
      </c>
    </row>
    <row r="1037" customFormat="false" ht="15" hidden="false" customHeight="false" outlineLevel="0" collapsed="false">
      <c r="A1037" s="10" t="s">
        <v>2107</v>
      </c>
      <c r="B1037" s="10" t="s">
        <v>2108</v>
      </c>
      <c r="C1037" s="10" t="s">
        <v>1181</v>
      </c>
      <c r="D1037" s="10" t="s">
        <v>1851</v>
      </c>
      <c r="E1037" s="11" t="n">
        <v>499</v>
      </c>
      <c r="F1037" s="11" t="n">
        <v>308</v>
      </c>
      <c r="G1037" s="12" t="n">
        <v>0.38</v>
      </c>
      <c r="H1037" s="13" t="n">
        <v>3.9</v>
      </c>
      <c r="I1037" s="11" t="n">
        <v>4584</v>
      </c>
      <c r="J1037" s="11" t="n">
        <f aca="false">E1037-F1037</f>
        <v>191</v>
      </c>
      <c r="K1037" s="10" t="str">
        <f aca="false">IF(G1037&lt;0.2,"0-19%",IF(G1037&lt;0.4,"20-39%",IF(G1037&lt;0.6,"40-59%",IF(G1037&lt;0.8,"60-79%","80%+"))))</f>
        <v>20-39%</v>
      </c>
      <c r="L1037" s="10" t="str">
        <f aca="false">IF(H1037="","No rating",IF(H1037&lt;3.5,"Below 3.5",IF(H1037&lt;4,"3.5-3.9",IF(H1037&lt;4.5,"4.0-4.4","4.5+"))))</f>
        <v>3.5-3.9</v>
      </c>
    </row>
    <row r="1038" customFormat="false" ht="15" hidden="false" customHeight="false" outlineLevel="0" collapsed="false">
      <c r="A1038" s="10" t="s">
        <v>2109</v>
      </c>
      <c r="B1038" s="10" t="s">
        <v>2110</v>
      </c>
      <c r="C1038" s="10" t="s">
        <v>1181</v>
      </c>
      <c r="D1038" s="10" t="s">
        <v>1854</v>
      </c>
      <c r="E1038" s="11" t="n">
        <v>4400</v>
      </c>
      <c r="F1038" s="11" t="n">
        <v>2599</v>
      </c>
      <c r="G1038" s="12" t="n">
        <v>0.41</v>
      </c>
      <c r="H1038" s="13" t="n">
        <v>4.1</v>
      </c>
      <c r="I1038" s="11" t="n">
        <v>14947</v>
      </c>
      <c r="J1038" s="11" t="n">
        <f aca="false">E1038-F1038</f>
        <v>1801</v>
      </c>
      <c r="K1038" s="10" t="str">
        <f aca="false">IF(G1038&lt;0.2,"0-19%",IF(G1038&lt;0.4,"20-39%",IF(G1038&lt;0.6,"40-59%",IF(G1038&lt;0.8,"60-79%","80%+"))))</f>
        <v>40-59%</v>
      </c>
      <c r="L1038" s="10" t="str">
        <f aca="false">IF(H1038="","No rating",IF(H1038&lt;3.5,"Below 3.5",IF(H1038&lt;4,"3.5-3.9",IF(H1038&lt;4.5,"4.0-4.4","4.5+"))))</f>
        <v>4.0-4.4</v>
      </c>
    </row>
    <row r="1039" customFormat="false" ht="15" hidden="false" customHeight="false" outlineLevel="0" collapsed="false">
      <c r="A1039" s="10" t="s">
        <v>2111</v>
      </c>
      <c r="B1039" s="10" t="s">
        <v>2112</v>
      </c>
      <c r="C1039" s="10" t="s">
        <v>1181</v>
      </c>
      <c r="D1039" s="10" t="s">
        <v>1851</v>
      </c>
      <c r="E1039" s="11" t="n">
        <v>1000</v>
      </c>
      <c r="F1039" s="11" t="n">
        <v>479</v>
      </c>
      <c r="G1039" s="12" t="n">
        <v>0.52</v>
      </c>
      <c r="H1039" s="13" t="n">
        <v>4.2</v>
      </c>
      <c r="I1039" s="11" t="n">
        <v>1559</v>
      </c>
      <c r="J1039" s="11" t="n">
        <f aca="false">E1039-F1039</f>
        <v>521</v>
      </c>
      <c r="K1039" s="10" t="str">
        <f aca="false">IF(G1039&lt;0.2,"0-19%",IF(G1039&lt;0.4,"20-39%",IF(G1039&lt;0.6,"40-59%",IF(G1039&lt;0.8,"60-79%","80%+"))))</f>
        <v>40-59%</v>
      </c>
      <c r="L1039" s="10" t="str">
        <f aca="false">IF(H1039="","No rating",IF(H1039&lt;3.5,"Below 3.5",IF(H1039&lt;4,"3.5-3.9",IF(H1039&lt;4.5,"4.0-4.4","4.5+"))))</f>
        <v>4.0-4.4</v>
      </c>
    </row>
    <row r="1040" customFormat="false" ht="15" hidden="false" customHeight="false" outlineLevel="0" collapsed="false">
      <c r="A1040" s="10" t="s">
        <v>2113</v>
      </c>
      <c r="B1040" s="10" t="s">
        <v>2114</v>
      </c>
      <c r="C1040" s="10" t="s">
        <v>1181</v>
      </c>
      <c r="D1040" s="10" t="s">
        <v>1851</v>
      </c>
      <c r="E1040" s="11" t="n">
        <v>299</v>
      </c>
      <c r="F1040" s="11" t="n">
        <v>245</v>
      </c>
      <c r="G1040" s="12" t="n">
        <v>0.18</v>
      </c>
      <c r="H1040" s="13" t="n">
        <v>4.1</v>
      </c>
      <c r="I1040" s="11" t="n">
        <v>1660</v>
      </c>
      <c r="J1040" s="11" t="n">
        <f aca="false">E1040-F1040</f>
        <v>54</v>
      </c>
      <c r="K1040" s="10" t="str">
        <f aca="false">IF(G1040&lt;0.2,"0-19%",IF(G1040&lt;0.4,"20-39%",IF(G1040&lt;0.6,"40-59%",IF(G1040&lt;0.8,"60-79%","80%+"))))</f>
        <v>0-19%</v>
      </c>
      <c r="L1040" s="10" t="str">
        <f aca="false">IF(H1040="","No rating",IF(H1040&lt;3.5,"Below 3.5",IF(H1040&lt;4,"3.5-3.9",IF(H1040&lt;4.5,"4.0-4.4","4.5+"))))</f>
        <v>4.0-4.4</v>
      </c>
    </row>
    <row r="1041" customFormat="false" ht="15" hidden="false" customHeight="false" outlineLevel="0" collapsed="false">
      <c r="A1041" s="10" t="s">
        <v>2115</v>
      </c>
      <c r="B1041" s="10" t="s">
        <v>2116</v>
      </c>
      <c r="C1041" s="10" t="s">
        <v>1181</v>
      </c>
      <c r="D1041" s="10" t="s">
        <v>1851</v>
      </c>
      <c r="E1041" s="11" t="n">
        <v>799</v>
      </c>
      <c r="F1041" s="11" t="n">
        <v>179</v>
      </c>
      <c r="G1041" s="12" t="n">
        <v>0.78</v>
      </c>
      <c r="H1041" s="13" t="n">
        <v>3.5</v>
      </c>
      <c r="I1041" s="11" t="n">
        <v>132</v>
      </c>
      <c r="J1041" s="11" t="n">
        <f aca="false">E1041-F1041</f>
        <v>620</v>
      </c>
      <c r="K1041" s="10" t="str">
        <f aca="false">IF(G1041&lt;0.2,"0-19%",IF(G1041&lt;0.4,"20-39%",IF(G1041&lt;0.6,"40-59%",IF(G1041&lt;0.8,"60-79%","80%+"))))</f>
        <v>60-79%</v>
      </c>
      <c r="L1041" s="10" t="str">
        <f aca="false">IF(H1041="","No rating",IF(H1041&lt;3.5,"Below 3.5",IF(H1041&lt;4,"3.5-3.9",IF(H1041&lt;4.5,"4.0-4.4","4.5+"))))</f>
        <v>3.5-3.9</v>
      </c>
    </row>
    <row r="1042" customFormat="false" ht="15" hidden="false" customHeight="false" outlineLevel="0" collapsed="false">
      <c r="A1042" s="10" t="s">
        <v>2117</v>
      </c>
      <c r="B1042" s="10" t="s">
        <v>2118</v>
      </c>
      <c r="C1042" s="10" t="s">
        <v>1181</v>
      </c>
      <c r="D1042" s="10" t="s">
        <v>1854</v>
      </c>
      <c r="E1042" s="11" t="n">
        <v>5190</v>
      </c>
      <c r="F1042" s="11" t="n">
        <v>3569</v>
      </c>
      <c r="G1042" s="12" t="n">
        <v>0.31</v>
      </c>
      <c r="H1042" s="13" t="n">
        <v>4.3</v>
      </c>
      <c r="I1042" s="11" t="n">
        <v>28629</v>
      </c>
      <c r="J1042" s="11" t="n">
        <f aca="false">E1042-F1042</f>
        <v>1621</v>
      </c>
      <c r="K1042" s="10" t="str">
        <f aca="false">IF(G1042&lt;0.2,"0-19%",IF(G1042&lt;0.4,"20-39%",IF(G1042&lt;0.6,"40-59%",IF(G1042&lt;0.8,"60-79%","80%+"))))</f>
        <v>20-39%</v>
      </c>
      <c r="L1042" s="10" t="str">
        <f aca="false">IF(H1042="","No rating",IF(H1042&lt;3.5,"Below 3.5",IF(H1042&lt;4,"3.5-3.9",IF(H1042&lt;4.5,"4.0-4.4","4.5+"))))</f>
        <v>4.0-4.4</v>
      </c>
    </row>
    <row r="1043" customFormat="false" ht="15" hidden="false" customHeight="false" outlineLevel="0" collapsed="false">
      <c r="A1043" s="10" t="s">
        <v>2119</v>
      </c>
      <c r="B1043" s="10" t="s">
        <v>2120</v>
      </c>
      <c r="C1043" s="10" t="s">
        <v>1181</v>
      </c>
      <c r="D1043" s="10" t="s">
        <v>1851</v>
      </c>
      <c r="E1043" s="11" t="n">
        <v>1345</v>
      </c>
      <c r="F1043" s="11" t="n">
        <v>699</v>
      </c>
      <c r="G1043" s="12" t="n">
        <v>0.48</v>
      </c>
      <c r="H1043" s="13" t="n">
        <v>3.9</v>
      </c>
      <c r="I1043" s="11" t="n">
        <v>8446</v>
      </c>
      <c r="J1043" s="11" t="n">
        <f aca="false">E1043-F1043</f>
        <v>646</v>
      </c>
      <c r="K1043" s="10" t="str">
        <f aca="false">IF(G1043&lt;0.2,"0-19%",IF(G1043&lt;0.4,"20-39%",IF(G1043&lt;0.6,"40-59%",IF(G1043&lt;0.8,"60-79%","80%+"))))</f>
        <v>40-59%</v>
      </c>
      <c r="L1043" s="10" t="str">
        <f aca="false">IF(H1043="","No rating",IF(H1043&lt;3.5,"Below 3.5",IF(H1043&lt;4,"3.5-3.9",IF(H1043&lt;4.5,"4.0-4.4","4.5+"))))</f>
        <v>3.5-3.9</v>
      </c>
    </row>
    <row r="1044" customFormat="false" ht="15" hidden="false" customHeight="false" outlineLevel="0" collapsed="false">
      <c r="A1044" s="10" t="s">
        <v>2121</v>
      </c>
      <c r="B1044" s="10" t="s">
        <v>2122</v>
      </c>
      <c r="C1044" s="10" t="s">
        <v>1181</v>
      </c>
      <c r="D1044" s="10" t="s">
        <v>1851</v>
      </c>
      <c r="E1044" s="11" t="n">
        <v>4000</v>
      </c>
      <c r="F1044" s="11" t="n">
        <v>2089</v>
      </c>
      <c r="G1044" s="12" t="n">
        <v>0.48</v>
      </c>
      <c r="H1044" s="13" t="n">
        <v>4.2</v>
      </c>
      <c r="I1044" s="11" t="n">
        <v>11199</v>
      </c>
      <c r="J1044" s="11" t="n">
        <f aca="false">E1044-F1044</f>
        <v>1911</v>
      </c>
      <c r="K1044" s="10" t="str">
        <f aca="false">IF(G1044&lt;0.2,"0-19%",IF(G1044&lt;0.4,"20-39%",IF(G1044&lt;0.6,"40-59%",IF(G1044&lt;0.8,"60-79%","80%+"))))</f>
        <v>40-59%</v>
      </c>
      <c r="L1044" s="10" t="str">
        <f aca="false">IF(H1044="","No rating",IF(H1044&lt;3.5,"Below 3.5",IF(H1044&lt;4,"3.5-3.9",IF(H1044&lt;4.5,"4.0-4.4","4.5+"))))</f>
        <v>4.0-4.4</v>
      </c>
    </row>
    <row r="1045" customFormat="false" ht="15" hidden="false" customHeight="false" outlineLevel="0" collapsed="false">
      <c r="A1045" s="10" t="s">
        <v>2123</v>
      </c>
      <c r="B1045" s="10" t="s">
        <v>2124</v>
      </c>
      <c r="C1045" s="10" t="s">
        <v>1170</v>
      </c>
      <c r="D1045" s="10" t="s">
        <v>2125</v>
      </c>
      <c r="E1045" s="11" t="n">
        <v>4000</v>
      </c>
      <c r="F1045" s="11" t="n">
        <v>2339</v>
      </c>
      <c r="G1045" s="12" t="n">
        <v>0.42</v>
      </c>
      <c r="H1045" s="13" t="n">
        <v>3.8</v>
      </c>
      <c r="I1045" s="11" t="n">
        <v>1118</v>
      </c>
      <c r="J1045" s="11" t="n">
        <f aca="false">E1045-F1045</f>
        <v>1661</v>
      </c>
      <c r="K1045" s="10" t="str">
        <f aca="false">IF(G1045&lt;0.2,"0-19%",IF(G1045&lt;0.4,"20-39%",IF(G1045&lt;0.6,"40-59%",IF(G1045&lt;0.8,"60-79%","80%+"))))</f>
        <v>40-59%</v>
      </c>
      <c r="L1045" s="10" t="str">
        <f aca="false">IF(H1045="","No rating",IF(H1045&lt;3.5,"Below 3.5",IF(H1045&lt;4,"3.5-3.9",IF(H1045&lt;4.5,"4.0-4.4","4.5+"))))</f>
        <v>3.5-3.9</v>
      </c>
    </row>
    <row r="1046" customFormat="false" ht="15" hidden="false" customHeight="false" outlineLevel="0" collapsed="false">
      <c r="A1046" s="10" t="s">
        <v>2126</v>
      </c>
      <c r="B1046" s="10" t="s">
        <v>2127</v>
      </c>
      <c r="C1046" s="10" t="s">
        <v>1181</v>
      </c>
      <c r="D1046" s="10" t="s">
        <v>1854</v>
      </c>
      <c r="E1046" s="11" t="n">
        <v>1599</v>
      </c>
      <c r="F1046" s="11" t="n">
        <v>784</v>
      </c>
      <c r="G1046" s="12" t="n">
        <v>0.51</v>
      </c>
      <c r="H1046" s="13" t="n">
        <v>4.5</v>
      </c>
      <c r="I1046" s="11" t="n">
        <v>11</v>
      </c>
      <c r="J1046" s="11" t="n">
        <f aca="false">E1046-F1046</f>
        <v>815</v>
      </c>
      <c r="K1046" s="10" t="str">
        <f aca="false">IF(G1046&lt;0.2,"0-19%",IF(G1046&lt;0.4,"20-39%",IF(G1046&lt;0.6,"40-59%",IF(G1046&lt;0.8,"60-79%","80%+"))))</f>
        <v>40-59%</v>
      </c>
      <c r="L1046" s="10" t="str">
        <f aca="false">IF(H1046="","No rating",IF(H1046&lt;3.5,"Below 3.5",IF(H1046&lt;4,"3.5-3.9",IF(H1046&lt;4.5,"4.0-4.4","4.5+"))))</f>
        <v>4.5+</v>
      </c>
    </row>
    <row r="1047" customFormat="false" ht="15" hidden="false" customHeight="false" outlineLevel="0" collapsed="false">
      <c r="A1047" s="10" t="s">
        <v>2128</v>
      </c>
      <c r="B1047" s="10" t="s">
        <v>2129</v>
      </c>
      <c r="C1047" s="10" t="s">
        <v>1181</v>
      </c>
      <c r="D1047" s="10" t="s">
        <v>1851</v>
      </c>
      <c r="E1047" s="11" t="n">
        <v>9999</v>
      </c>
      <c r="F1047" s="11" t="n">
        <v>5499</v>
      </c>
      <c r="G1047" s="12" t="n">
        <v>0.45</v>
      </c>
      <c r="H1047" s="13" t="n">
        <v>3.8</v>
      </c>
      <c r="I1047" s="11" t="n">
        <v>4353</v>
      </c>
      <c r="J1047" s="11" t="n">
        <f aca="false">E1047-F1047</f>
        <v>4500</v>
      </c>
      <c r="K1047" s="10" t="str">
        <f aca="false">IF(G1047&lt;0.2,"0-19%",IF(G1047&lt;0.4,"20-39%",IF(G1047&lt;0.6,"40-59%",IF(G1047&lt;0.8,"60-79%","80%+"))))</f>
        <v>40-59%</v>
      </c>
      <c r="L1047" s="10" t="str">
        <f aca="false">IF(H1047="","No rating",IF(H1047&lt;3.5,"Below 3.5",IF(H1047&lt;4,"3.5-3.9",IF(H1047&lt;4.5,"4.0-4.4","4.5+"))))</f>
        <v>3.5-3.9</v>
      </c>
    </row>
    <row r="1048" customFormat="false" ht="15" hidden="false" customHeight="false" outlineLevel="0" collapsed="false">
      <c r="A1048" s="10" t="s">
        <v>2130</v>
      </c>
      <c r="B1048" s="10" t="s">
        <v>2131</v>
      </c>
      <c r="C1048" s="10" t="s">
        <v>1181</v>
      </c>
      <c r="D1048" s="10" t="s">
        <v>1854</v>
      </c>
      <c r="E1048" s="11" t="n">
        <v>1990</v>
      </c>
      <c r="F1048" s="11" t="n">
        <v>899</v>
      </c>
      <c r="G1048" s="12" t="n">
        <v>0.55</v>
      </c>
      <c r="H1048" s="13" t="n">
        <v>4.1</v>
      </c>
      <c r="I1048" s="11" t="n">
        <v>185</v>
      </c>
      <c r="J1048" s="11" t="n">
        <f aca="false">E1048-F1048</f>
        <v>1091</v>
      </c>
      <c r="K1048" s="10" t="str">
        <f aca="false">IF(G1048&lt;0.2,"0-19%",IF(G1048&lt;0.4,"20-39%",IF(G1048&lt;0.6,"40-59%",IF(G1048&lt;0.8,"60-79%","80%+"))))</f>
        <v>40-59%</v>
      </c>
      <c r="L1048" s="10" t="str">
        <f aca="false">IF(H1048="","No rating",IF(H1048&lt;3.5,"Below 3.5",IF(H1048&lt;4,"3.5-3.9",IF(H1048&lt;4.5,"4.0-4.4","4.5+"))))</f>
        <v>4.0-4.4</v>
      </c>
    </row>
    <row r="1049" customFormat="false" ht="15" hidden="false" customHeight="false" outlineLevel="0" collapsed="false">
      <c r="A1049" s="10" t="s">
        <v>2132</v>
      </c>
      <c r="B1049" s="10" t="s">
        <v>2133</v>
      </c>
      <c r="C1049" s="10" t="s">
        <v>1181</v>
      </c>
      <c r="D1049" s="10" t="s">
        <v>1851</v>
      </c>
      <c r="E1049" s="11" t="n">
        <v>1695</v>
      </c>
      <c r="F1049" s="11" t="n">
        <v>1695</v>
      </c>
      <c r="G1049" s="12" t="n">
        <v>0</v>
      </c>
      <c r="H1049" s="13" t="n">
        <v>4.2</v>
      </c>
      <c r="I1049" s="11" t="n">
        <v>14290</v>
      </c>
      <c r="J1049" s="11" t="n">
        <f aca="false">E1049-F1049</f>
        <v>0</v>
      </c>
      <c r="K1049" s="10" t="str">
        <f aca="false">IF(G1049&lt;0.2,"0-19%",IF(G1049&lt;0.4,"20-39%",IF(G1049&lt;0.6,"40-59%",IF(G1049&lt;0.8,"60-79%","80%+"))))</f>
        <v>0-19%</v>
      </c>
      <c r="L1049" s="10" t="str">
        <f aca="false">IF(H1049="","No rating",IF(H1049&lt;3.5,"Below 3.5",IF(H1049&lt;4,"3.5-3.9",IF(H1049&lt;4.5,"4.0-4.4","4.5+"))))</f>
        <v>4.0-4.4</v>
      </c>
    </row>
    <row r="1050" customFormat="false" ht="15" hidden="false" customHeight="false" outlineLevel="0" collapsed="false">
      <c r="A1050" s="10" t="s">
        <v>2134</v>
      </c>
      <c r="B1050" s="10" t="s">
        <v>2135</v>
      </c>
      <c r="C1050" s="10" t="s">
        <v>1181</v>
      </c>
      <c r="D1050" s="10" t="s">
        <v>1851</v>
      </c>
      <c r="E1050" s="11" t="n">
        <v>940</v>
      </c>
      <c r="F1050" s="11" t="n">
        <v>499</v>
      </c>
      <c r="G1050" s="12" t="n">
        <v>0.47</v>
      </c>
      <c r="H1050" s="13" t="n">
        <v>4.1</v>
      </c>
      <c r="I1050" s="11" t="n">
        <v>3036</v>
      </c>
      <c r="J1050" s="11" t="n">
        <f aca="false">E1050-F1050</f>
        <v>441</v>
      </c>
      <c r="K1050" s="10" t="str">
        <f aca="false">IF(G1050&lt;0.2,"0-19%",IF(G1050&lt;0.4,"20-39%",IF(G1050&lt;0.6,"40-59%",IF(G1050&lt;0.8,"60-79%","80%+"))))</f>
        <v>40-59%</v>
      </c>
      <c r="L1050" s="10" t="str">
        <f aca="false">IF(H1050="","No rating",IF(H1050&lt;3.5,"Below 3.5",IF(H1050&lt;4,"3.5-3.9",IF(H1050&lt;4.5,"4.0-4.4","4.5+"))))</f>
        <v>4.0-4.4</v>
      </c>
    </row>
    <row r="1051" customFormat="false" ht="15" hidden="false" customHeight="false" outlineLevel="0" collapsed="false">
      <c r="A1051" s="10" t="s">
        <v>2136</v>
      </c>
      <c r="B1051" s="10" t="s">
        <v>2137</v>
      </c>
      <c r="C1051" s="10" t="s">
        <v>1181</v>
      </c>
      <c r="D1051" s="10" t="s">
        <v>1854</v>
      </c>
      <c r="E1051" s="11" t="n">
        <v>4700</v>
      </c>
      <c r="F1051" s="11" t="n">
        <v>2699</v>
      </c>
      <c r="G1051" s="12" t="n">
        <v>0.43</v>
      </c>
      <c r="H1051" s="13" t="n">
        <v>4.2</v>
      </c>
      <c r="I1051" s="11" t="n">
        <v>1296</v>
      </c>
      <c r="J1051" s="11" t="n">
        <f aca="false">E1051-F1051</f>
        <v>2001</v>
      </c>
      <c r="K1051" s="10" t="str">
        <f aca="false">IF(G1051&lt;0.2,"0-19%",IF(G1051&lt;0.4,"20-39%",IF(G1051&lt;0.6,"40-59%",IF(G1051&lt;0.8,"60-79%","80%+"))))</f>
        <v>40-59%</v>
      </c>
      <c r="L1051" s="10" t="str">
        <f aca="false">IF(H1051="","No rating",IF(H1051&lt;3.5,"Below 3.5",IF(H1051&lt;4,"3.5-3.9",IF(H1051&lt;4.5,"4.0-4.4","4.5+"))))</f>
        <v>4.0-4.4</v>
      </c>
    </row>
    <row r="1052" customFormat="false" ht="15" hidden="false" customHeight="false" outlineLevel="0" collapsed="false">
      <c r="A1052" s="10" t="s">
        <v>2138</v>
      </c>
      <c r="B1052" s="10" t="s">
        <v>2139</v>
      </c>
      <c r="C1052" s="10" t="s">
        <v>1181</v>
      </c>
      <c r="D1052" s="10" t="s">
        <v>1854</v>
      </c>
      <c r="E1052" s="11" t="n">
        <v>2999</v>
      </c>
      <c r="F1052" s="11" t="n">
        <v>1448</v>
      </c>
      <c r="G1052" s="12" t="n">
        <v>0.52</v>
      </c>
      <c r="H1052" s="13" t="n">
        <v>4.5</v>
      </c>
      <c r="I1052" s="11" t="n">
        <v>19</v>
      </c>
      <c r="J1052" s="11" t="n">
        <f aca="false">E1052-F1052</f>
        <v>1551</v>
      </c>
      <c r="K1052" s="10" t="str">
        <f aca="false">IF(G1052&lt;0.2,"0-19%",IF(G1052&lt;0.4,"20-39%",IF(G1052&lt;0.6,"40-59%",IF(G1052&lt;0.8,"60-79%","80%+"))))</f>
        <v>40-59%</v>
      </c>
      <c r="L1052" s="10" t="str">
        <f aca="false">IF(H1052="","No rating",IF(H1052&lt;3.5,"Below 3.5",IF(H1052&lt;4,"3.5-3.9",IF(H1052&lt;4.5,"4.0-4.4","4.5+"))))</f>
        <v>4.5+</v>
      </c>
    </row>
    <row r="1053" customFormat="false" ht="15" hidden="false" customHeight="false" outlineLevel="0" collapsed="false">
      <c r="A1053" s="10" t="s">
        <v>2140</v>
      </c>
      <c r="B1053" s="10" t="s">
        <v>2141</v>
      </c>
      <c r="C1053" s="10" t="s">
        <v>1181</v>
      </c>
      <c r="D1053" s="10" t="s">
        <v>1851</v>
      </c>
      <c r="E1053" s="11" t="n">
        <v>79</v>
      </c>
      <c r="F1053" s="11" t="n">
        <v>79</v>
      </c>
      <c r="G1053" s="12" t="n">
        <v>0</v>
      </c>
      <c r="H1053" s="13" t="n">
        <v>4</v>
      </c>
      <c r="I1053" s="11" t="n">
        <v>97</v>
      </c>
      <c r="J1053" s="11" t="n">
        <f aca="false">E1053-F1053</f>
        <v>0</v>
      </c>
      <c r="K1053" s="10" t="str">
        <f aca="false">IF(G1053&lt;0.2,"0-19%",IF(G1053&lt;0.4,"20-39%",IF(G1053&lt;0.6,"40-59%",IF(G1053&lt;0.8,"60-79%","80%+"))))</f>
        <v>0-19%</v>
      </c>
      <c r="L1053" s="10" t="str">
        <f aca="false">IF(H1053="","No rating",IF(H1053&lt;3.5,"Below 3.5",IF(H1053&lt;4,"3.5-3.9",IF(H1053&lt;4.5,"4.0-4.4","4.5+"))))</f>
        <v>4.0-4.4</v>
      </c>
    </row>
    <row r="1054" customFormat="false" ht="15" hidden="false" customHeight="false" outlineLevel="0" collapsed="false">
      <c r="A1054" s="10" t="s">
        <v>2142</v>
      </c>
      <c r="B1054" s="10" t="s">
        <v>2143</v>
      </c>
      <c r="C1054" s="10" t="s">
        <v>1181</v>
      </c>
      <c r="D1054" s="10" t="s">
        <v>1854</v>
      </c>
      <c r="E1054" s="11" t="n">
        <v>14290</v>
      </c>
      <c r="F1054" s="11" t="n">
        <v>6990</v>
      </c>
      <c r="G1054" s="12" t="n">
        <v>0.51</v>
      </c>
      <c r="H1054" s="13" t="n">
        <v>4.4</v>
      </c>
      <c r="I1054" s="11" t="n">
        <v>1771</v>
      </c>
      <c r="J1054" s="11" t="n">
        <f aca="false">E1054-F1054</f>
        <v>7300</v>
      </c>
      <c r="K1054" s="10" t="str">
        <f aca="false">IF(G1054&lt;0.2,"0-19%",IF(G1054&lt;0.4,"20-39%",IF(G1054&lt;0.6,"40-59%",IF(G1054&lt;0.8,"60-79%","80%+"))))</f>
        <v>40-59%</v>
      </c>
      <c r="L1054" s="10" t="str">
        <f aca="false">IF(H1054="","No rating",IF(H1054&lt;3.5,"Below 3.5",IF(H1054&lt;4,"3.5-3.9",IF(H1054&lt;4.5,"4.0-4.4","4.5+"))))</f>
        <v>4.0-4.4</v>
      </c>
    </row>
    <row r="1055" customFormat="false" ht="15" hidden="false" customHeight="false" outlineLevel="0" collapsed="false">
      <c r="A1055" s="10" t="s">
        <v>2144</v>
      </c>
      <c r="B1055" s="10" t="s">
        <v>2145</v>
      </c>
      <c r="C1055" s="10" t="s">
        <v>1181</v>
      </c>
      <c r="D1055" s="10" t="s">
        <v>1851</v>
      </c>
      <c r="E1055" s="11" t="n">
        <v>3945</v>
      </c>
      <c r="F1055" s="11" t="n">
        <v>2698</v>
      </c>
      <c r="G1055" s="12" t="n">
        <v>0.32</v>
      </c>
      <c r="H1055" s="13" t="n">
        <v>4</v>
      </c>
      <c r="I1055" s="11" t="n">
        <v>15034</v>
      </c>
      <c r="J1055" s="11" t="n">
        <f aca="false">E1055-F1055</f>
        <v>1247</v>
      </c>
      <c r="K1055" s="10" t="str">
        <f aca="false">IF(G1055&lt;0.2,"0-19%",IF(G1055&lt;0.4,"20-39%",IF(G1055&lt;0.6,"40-59%",IF(G1055&lt;0.8,"60-79%","80%+"))))</f>
        <v>20-39%</v>
      </c>
      <c r="L1055" s="10" t="str">
        <f aca="false">IF(H1055="","No rating",IF(H1055&lt;3.5,"Below 3.5",IF(H1055&lt;4,"3.5-3.9",IF(H1055&lt;4.5,"4.0-4.4","4.5+"))))</f>
        <v>4.0-4.4</v>
      </c>
    </row>
    <row r="1056" customFormat="false" ht="15" hidden="false" customHeight="false" outlineLevel="0" collapsed="false">
      <c r="A1056" s="10" t="s">
        <v>2146</v>
      </c>
      <c r="B1056" s="10" t="s">
        <v>2147</v>
      </c>
      <c r="C1056" s="10" t="s">
        <v>1181</v>
      </c>
      <c r="D1056" s="10" t="s">
        <v>1851</v>
      </c>
      <c r="E1056" s="11" t="n">
        <v>5999</v>
      </c>
      <c r="F1056" s="11" t="n">
        <v>3199</v>
      </c>
      <c r="G1056" s="12" t="n">
        <v>0.47</v>
      </c>
      <c r="H1056" s="13" t="n">
        <v>4</v>
      </c>
      <c r="I1056" s="11" t="n">
        <v>3242</v>
      </c>
      <c r="J1056" s="11" t="n">
        <f aca="false">E1056-F1056</f>
        <v>2800</v>
      </c>
      <c r="K1056" s="10" t="str">
        <f aca="false">IF(G1056&lt;0.2,"0-19%",IF(G1056&lt;0.4,"20-39%",IF(G1056&lt;0.6,"40-59%",IF(G1056&lt;0.8,"60-79%","80%+"))))</f>
        <v>40-59%</v>
      </c>
      <c r="L1056" s="10" t="str">
        <f aca="false">IF(H1056="","No rating",IF(H1056&lt;3.5,"Below 3.5",IF(H1056&lt;4,"3.5-3.9",IF(H1056&lt;4.5,"4.0-4.4","4.5+"))))</f>
        <v>4.0-4.4</v>
      </c>
    </row>
    <row r="1057" customFormat="false" ht="15" hidden="false" customHeight="false" outlineLevel="0" collapsed="false">
      <c r="A1057" s="10" t="s">
        <v>2148</v>
      </c>
      <c r="B1057" s="10" t="s">
        <v>2149</v>
      </c>
      <c r="C1057" s="10" t="s">
        <v>1181</v>
      </c>
      <c r="D1057" s="10" t="s">
        <v>1851</v>
      </c>
      <c r="E1057" s="11" t="n">
        <v>1950</v>
      </c>
      <c r="F1057" s="11" t="n">
        <v>1199</v>
      </c>
      <c r="G1057" s="12" t="n">
        <v>0.39</v>
      </c>
      <c r="H1057" s="13" t="n">
        <v>3.9</v>
      </c>
      <c r="I1057" s="11" t="n">
        <v>2832</v>
      </c>
      <c r="J1057" s="11" t="n">
        <f aca="false">E1057-F1057</f>
        <v>751</v>
      </c>
      <c r="K1057" s="10" t="str">
        <f aca="false">IF(G1057&lt;0.2,"0-19%",IF(G1057&lt;0.4,"20-39%",IF(G1057&lt;0.6,"40-59%",IF(G1057&lt;0.8,"60-79%","80%+"))))</f>
        <v>20-39%</v>
      </c>
      <c r="L1057" s="10" t="str">
        <f aca="false">IF(H1057="","No rating",IF(H1057&lt;3.5,"Below 3.5",IF(H1057&lt;4,"3.5-3.9",IF(H1057&lt;4.5,"4.0-4.4","4.5+"))))</f>
        <v>3.5-3.9</v>
      </c>
    </row>
    <row r="1058" customFormat="false" ht="15" hidden="false" customHeight="false" outlineLevel="0" collapsed="false">
      <c r="A1058" s="10" t="s">
        <v>2150</v>
      </c>
      <c r="B1058" s="10" t="s">
        <v>2151</v>
      </c>
      <c r="C1058" s="10" t="s">
        <v>1181</v>
      </c>
      <c r="D1058" s="10" t="s">
        <v>1851</v>
      </c>
      <c r="E1058" s="11" t="n">
        <v>2799</v>
      </c>
      <c r="F1058" s="11" t="n">
        <v>1414</v>
      </c>
      <c r="G1058" s="12" t="n">
        <v>0.49</v>
      </c>
      <c r="H1058" s="13" t="n">
        <v>4</v>
      </c>
      <c r="I1058" s="11" t="n">
        <v>1498</v>
      </c>
      <c r="J1058" s="11" t="n">
        <f aca="false">E1058-F1058</f>
        <v>1385</v>
      </c>
      <c r="K1058" s="10" t="str">
        <f aca="false">IF(G1058&lt;0.2,"0-19%",IF(G1058&lt;0.4,"20-39%",IF(G1058&lt;0.6,"40-59%",IF(G1058&lt;0.8,"60-79%","80%+"))))</f>
        <v>40-59%</v>
      </c>
      <c r="L1058" s="10" t="str">
        <f aca="false">IF(H1058="","No rating",IF(H1058&lt;3.5,"Below 3.5",IF(H1058&lt;4,"3.5-3.9",IF(H1058&lt;4.5,"4.0-4.4","4.5+"))))</f>
        <v>4.0-4.4</v>
      </c>
    </row>
    <row r="1059" customFormat="false" ht="15" hidden="false" customHeight="false" outlineLevel="0" collapsed="false">
      <c r="A1059" s="10" t="s">
        <v>2152</v>
      </c>
      <c r="B1059" s="10" t="s">
        <v>2153</v>
      </c>
      <c r="C1059" s="10" t="s">
        <v>1181</v>
      </c>
      <c r="D1059" s="10" t="s">
        <v>1851</v>
      </c>
      <c r="E1059" s="11" t="n">
        <v>1950</v>
      </c>
      <c r="F1059" s="11" t="n">
        <v>999</v>
      </c>
      <c r="G1059" s="12" t="n">
        <v>0.49</v>
      </c>
      <c r="H1059" s="13" t="n">
        <v>3.8</v>
      </c>
      <c r="I1059" s="11" t="n">
        <v>305</v>
      </c>
      <c r="J1059" s="11" t="n">
        <f aca="false">E1059-F1059</f>
        <v>951</v>
      </c>
      <c r="K1059" s="10" t="str">
        <f aca="false">IF(G1059&lt;0.2,"0-19%",IF(G1059&lt;0.4,"20-39%",IF(G1059&lt;0.6,"40-59%",IF(G1059&lt;0.8,"60-79%","80%+"))))</f>
        <v>40-59%</v>
      </c>
      <c r="L1059" s="10" t="str">
        <f aca="false">IF(H1059="","No rating",IF(H1059&lt;3.5,"Below 3.5",IF(H1059&lt;4,"3.5-3.9",IF(H1059&lt;4.5,"4.0-4.4","4.5+"))))</f>
        <v>3.5-3.9</v>
      </c>
    </row>
    <row r="1060" customFormat="false" ht="15" hidden="false" customHeight="false" outlineLevel="0" collapsed="false">
      <c r="A1060" s="10" t="s">
        <v>2154</v>
      </c>
      <c r="B1060" s="10" t="s">
        <v>2155</v>
      </c>
      <c r="C1060" s="10" t="s">
        <v>1181</v>
      </c>
      <c r="D1060" s="10" t="s">
        <v>1851</v>
      </c>
      <c r="E1060" s="11" t="n">
        <v>9999</v>
      </c>
      <c r="F1060" s="11" t="n">
        <v>5999</v>
      </c>
      <c r="G1060" s="12" t="n">
        <v>0.4</v>
      </c>
      <c r="H1060" s="13" t="n">
        <v>4.2</v>
      </c>
      <c r="I1060" s="11" t="n">
        <v>1191</v>
      </c>
      <c r="J1060" s="11" t="n">
        <f aca="false">E1060-F1060</f>
        <v>4000</v>
      </c>
      <c r="K1060" s="10" t="str">
        <f aca="false">IF(G1060&lt;0.2,"0-19%",IF(G1060&lt;0.4,"20-39%",IF(G1060&lt;0.6,"40-59%",IF(G1060&lt;0.8,"60-79%","80%+"))))</f>
        <v>40-59%</v>
      </c>
      <c r="L1060" s="10" t="str">
        <f aca="false">IF(H1060="","No rating",IF(H1060&lt;3.5,"Below 3.5",IF(H1060&lt;4,"3.5-3.9",IF(H1060&lt;4.5,"4.0-4.4","4.5+"))))</f>
        <v>4.0-4.4</v>
      </c>
    </row>
    <row r="1061" customFormat="false" ht="15" hidden="false" customHeight="false" outlineLevel="0" collapsed="false">
      <c r="A1061" s="10" t="s">
        <v>2156</v>
      </c>
      <c r="B1061" s="10" t="s">
        <v>2157</v>
      </c>
      <c r="C1061" s="10" t="s">
        <v>1181</v>
      </c>
      <c r="D1061" s="10" t="s">
        <v>1854</v>
      </c>
      <c r="E1061" s="11" t="n">
        <v>12999</v>
      </c>
      <c r="F1061" s="11" t="n">
        <v>9970</v>
      </c>
      <c r="G1061" s="12" t="n">
        <v>0.23</v>
      </c>
      <c r="H1061" s="13" t="n">
        <v>4.3</v>
      </c>
      <c r="I1061" s="11" t="n">
        <v>4049</v>
      </c>
      <c r="J1061" s="11" t="n">
        <f aca="false">E1061-F1061</f>
        <v>3029</v>
      </c>
      <c r="K1061" s="10" t="str">
        <f aca="false">IF(G1061&lt;0.2,"0-19%",IF(G1061&lt;0.4,"20-39%",IF(G1061&lt;0.6,"40-59%",IF(G1061&lt;0.8,"60-79%","80%+"))))</f>
        <v>20-39%</v>
      </c>
      <c r="L1061" s="10" t="str">
        <f aca="false">IF(H1061="","No rating",IF(H1061&lt;3.5,"Below 3.5",IF(H1061&lt;4,"3.5-3.9",IF(H1061&lt;4.5,"4.0-4.4","4.5+"))))</f>
        <v>4.0-4.4</v>
      </c>
    </row>
    <row r="1062" customFormat="false" ht="15" hidden="false" customHeight="false" outlineLevel="0" collapsed="false">
      <c r="A1062" s="10" t="s">
        <v>2158</v>
      </c>
      <c r="B1062" s="10" t="s">
        <v>2159</v>
      </c>
      <c r="C1062" s="10" t="s">
        <v>1181</v>
      </c>
      <c r="D1062" s="10" t="s">
        <v>1851</v>
      </c>
      <c r="E1062" s="11" t="n">
        <v>699</v>
      </c>
      <c r="F1062" s="11" t="n">
        <v>698</v>
      </c>
      <c r="G1062" s="12" t="n">
        <v>0</v>
      </c>
      <c r="H1062" s="13" t="n">
        <v>4.2</v>
      </c>
      <c r="I1062" s="11" t="n">
        <v>3160</v>
      </c>
      <c r="J1062" s="11" t="n">
        <f aca="false">E1062-F1062</f>
        <v>1</v>
      </c>
      <c r="K1062" s="10" t="str">
        <f aca="false">IF(G1062&lt;0.2,"0-19%",IF(G1062&lt;0.4,"20-39%",IF(G1062&lt;0.6,"40-59%",IF(G1062&lt;0.8,"60-79%","80%+"))))</f>
        <v>0-19%</v>
      </c>
      <c r="L1062" s="10" t="str">
        <f aca="false">IF(H1062="","No rating",IF(H1062&lt;3.5,"Below 3.5",IF(H1062&lt;4,"3.5-3.9",IF(H1062&lt;4.5,"4.0-4.4","4.5+"))))</f>
        <v>4.0-4.4</v>
      </c>
    </row>
    <row r="1063" customFormat="false" ht="15" hidden="false" customHeight="false" outlineLevel="0" collapsed="false">
      <c r="A1063" s="10" t="s">
        <v>2160</v>
      </c>
      <c r="B1063" s="10" t="s">
        <v>2161</v>
      </c>
      <c r="C1063" s="10" t="s">
        <v>1181</v>
      </c>
      <c r="D1063" s="10" t="s">
        <v>1854</v>
      </c>
      <c r="E1063" s="11" t="n">
        <v>3190</v>
      </c>
      <c r="F1063" s="11" t="n">
        <v>2199</v>
      </c>
      <c r="G1063" s="12" t="n">
        <v>0.31</v>
      </c>
      <c r="H1063" s="13" t="n">
        <v>4.3</v>
      </c>
      <c r="I1063" s="11" t="n">
        <v>9650</v>
      </c>
      <c r="J1063" s="11" t="n">
        <f aca="false">E1063-F1063</f>
        <v>991</v>
      </c>
      <c r="K1063" s="10" t="str">
        <f aca="false">IF(G1063&lt;0.2,"0-19%",IF(G1063&lt;0.4,"20-39%",IF(G1063&lt;0.6,"40-59%",IF(G1063&lt;0.8,"60-79%","80%+"))))</f>
        <v>20-39%</v>
      </c>
      <c r="L1063" s="10" t="str">
        <f aca="false">IF(H1063="","No rating",IF(H1063&lt;3.5,"Below 3.5",IF(H1063&lt;4,"3.5-3.9",IF(H1063&lt;4.5,"4.0-4.4","4.5+"))))</f>
        <v>4.0-4.4</v>
      </c>
    </row>
    <row r="1064" customFormat="false" ht="15" hidden="false" customHeight="false" outlineLevel="0" collapsed="false">
      <c r="A1064" s="10" t="s">
        <v>2162</v>
      </c>
      <c r="B1064" s="10" t="s">
        <v>2163</v>
      </c>
      <c r="C1064" s="10" t="s">
        <v>1181</v>
      </c>
      <c r="D1064" s="10" t="s">
        <v>1920</v>
      </c>
      <c r="E1064" s="11" t="n">
        <v>799</v>
      </c>
      <c r="F1064" s="11" t="n">
        <v>320</v>
      </c>
      <c r="G1064" s="12" t="n">
        <v>0.6</v>
      </c>
      <c r="H1064" s="13" t="n">
        <v>4.2</v>
      </c>
      <c r="I1064" s="11" t="n">
        <v>3846</v>
      </c>
      <c r="J1064" s="11" t="n">
        <f aca="false">E1064-F1064</f>
        <v>479</v>
      </c>
      <c r="K1064" s="10" t="str">
        <f aca="false">IF(G1064&lt;0.2,"0-19%",IF(G1064&lt;0.4,"20-39%",IF(G1064&lt;0.6,"40-59%",IF(G1064&lt;0.8,"60-79%","80%+"))))</f>
        <v>60-79%</v>
      </c>
      <c r="L1064" s="10" t="str">
        <f aca="false">IF(H1064="","No rating",IF(H1064&lt;3.5,"Below 3.5",IF(H1064&lt;4,"3.5-3.9",IF(H1064&lt;4.5,"4.0-4.4","4.5+"))))</f>
        <v>4.0-4.4</v>
      </c>
    </row>
    <row r="1065" customFormat="false" ht="15" hidden="false" customHeight="false" outlineLevel="0" collapsed="false">
      <c r="A1065" s="10" t="s">
        <v>2164</v>
      </c>
      <c r="B1065" s="10" t="s">
        <v>2165</v>
      </c>
      <c r="C1065" s="10" t="s">
        <v>1181</v>
      </c>
      <c r="D1065" s="10" t="s">
        <v>1851</v>
      </c>
      <c r="E1065" s="11" t="n">
        <v>499</v>
      </c>
      <c r="F1065" s="11" t="n">
        <v>298</v>
      </c>
      <c r="G1065" s="12" t="n">
        <v>0.4</v>
      </c>
      <c r="H1065" s="13" t="n">
        <v>4.4</v>
      </c>
      <c r="I1065" s="11" t="n">
        <v>290</v>
      </c>
      <c r="J1065" s="11" t="n">
        <f aca="false">E1065-F1065</f>
        <v>201</v>
      </c>
      <c r="K1065" s="10" t="str">
        <f aca="false">IF(G1065&lt;0.2,"0-19%",IF(G1065&lt;0.4,"20-39%",IF(G1065&lt;0.6,"40-59%",IF(G1065&lt;0.8,"60-79%","80%+"))))</f>
        <v>40-59%</v>
      </c>
      <c r="L1065" s="10" t="str">
        <f aca="false">IF(H1065="","No rating",IF(H1065&lt;3.5,"Below 3.5",IF(H1065&lt;4,"3.5-3.9",IF(H1065&lt;4.5,"4.0-4.4","4.5+"))))</f>
        <v>4.0-4.4</v>
      </c>
    </row>
    <row r="1066" customFormat="false" ht="15" hidden="false" customHeight="false" outlineLevel="0" collapsed="false">
      <c r="A1066" s="10" t="s">
        <v>2166</v>
      </c>
      <c r="B1066" s="10" t="s">
        <v>2167</v>
      </c>
      <c r="C1066" s="10" t="s">
        <v>1181</v>
      </c>
      <c r="D1066" s="10" t="s">
        <v>1851</v>
      </c>
      <c r="E1066" s="11" t="n">
        <v>1499</v>
      </c>
      <c r="F1066" s="11" t="n">
        <v>1199</v>
      </c>
      <c r="G1066" s="12" t="n">
        <v>0.2</v>
      </c>
      <c r="H1066" s="13" t="n">
        <v>3.8</v>
      </c>
      <c r="I1066" s="11" t="n">
        <v>2206</v>
      </c>
      <c r="J1066" s="11" t="n">
        <f aca="false">E1066-F1066</f>
        <v>300</v>
      </c>
      <c r="K1066" s="10" t="str">
        <f aca="false">IF(G1066&lt;0.2,"0-19%",IF(G1066&lt;0.4,"20-39%",IF(G1066&lt;0.6,"40-59%",IF(G1066&lt;0.8,"60-79%","80%+"))))</f>
        <v>20-39%</v>
      </c>
      <c r="L1066" s="10" t="str">
        <f aca="false">IF(H1066="","No rating",IF(H1066&lt;3.5,"Below 3.5",IF(H1066&lt;4,"3.5-3.9",IF(H1066&lt;4.5,"4.0-4.4","4.5+"))))</f>
        <v>3.5-3.9</v>
      </c>
    </row>
    <row r="1067" customFormat="false" ht="15" hidden="false" customHeight="false" outlineLevel="0" collapsed="false">
      <c r="A1067" s="10" t="s">
        <v>2168</v>
      </c>
      <c r="B1067" s="10" t="s">
        <v>2169</v>
      </c>
      <c r="C1067" s="10" t="s">
        <v>1181</v>
      </c>
      <c r="D1067" s="10" t="s">
        <v>1854</v>
      </c>
      <c r="E1067" s="11" t="n">
        <v>2660</v>
      </c>
      <c r="F1067" s="11" t="n">
        <v>1399</v>
      </c>
      <c r="G1067" s="12" t="n">
        <v>0.47</v>
      </c>
      <c r="H1067" s="13" t="n">
        <v>4.1</v>
      </c>
      <c r="I1067" s="11" t="n">
        <v>9349</v>
      </c>
      <c r="J1067" s="11" t="n">
        <f aca="false">E1067-F1067</f>
        <v>1261</v>
      </c>
      <c r="K1067" s="10" t="str">
        <f aca="false">IF(G1067&lt;0.2,"0-19%",IF(G1067&lt;0.4,"20-39%",IF(G1067&lt;0.6,"40-59%",IF(G1067&lt;0.8,"60-79%","80%+"))))</f>
        <v>40-59%</v>
      </c>
      <c r="L1067" s="10" t="str">
        <f aca="false">IF(H1067="","No rating",IF(H1067&lt;3.5,"Below 3.5",IF(H1067&lt;4,"3.5-3.9",IF(H1067&lt;4.5,"4.0-4.4","4.5+"))))</f>
        <v>4.0-4.4</v>
      </c>
    </row>
    <row r="1068" customFormat="false" ht="15" hidden="false" customHeight="false" outlineLevel="0" collapsed="false">
      <c r="A1068" s="10" t="s">
        <v>2170</v>
      </c>
      <c r="B1068" s="10" t="s">
        <v>2171</v>
      </c>
      <c r="C1068" s="10" t="s">
        <v>1181</v>
      </c>
      <c r="D1068" s="10" t="s">
        <v>1851</v>
      </c>
      <c r="E1068" s="11" t="n">
        <v>2799</v>
      </c>
      <c r="F1068" s="11" t="n">
        <v>599</v>
      </c>
      <c r="G1068" s="12" t="n">
        <v>0.79</v>
      </c>
      <c r="H1068" s="13" t="n">
        <v>3.9</v>
      </c>
      <c r="I1068" s="11" t="n">
        <v>578</v>
      </c>
      <c r="J1068" s="11" t="n">
        <f aca="false">E1068-F1068</f>
        <v>2200</v>
      </c>
      <c r="K1068" s="10" t="str">
        <f aca="false">IF(G1068&lt;0.2,"0-19%",IF(G1068&lt;0.4,"20-39%",IF(G1068&lt;0.6,"40-59%",IF(G1068&lt;0.8,"60-79%","80%+"))))</f>
        <v>60-79%</v>
      </c>
      <c r="L1068" s="10" t="str">
        <f aca="false">IF(H1068="","No rating",IF(H1068&lt;3.5,"Below 3.5",IF(H1068&lt;4,"3.5-3.9",IF(H1068&lt;4.5,"4.0-4.4","4.5+"))))</f>
        <v>3.5-3.9</v>
      </c>
    </row>
    <row r="1069" customFormat="false" ht="15" hidden="false" customHeight="false" outlineLevel="0" collapsed="false">
      <c r="A1069" s="10" t="s">
        <v>2172</v>
      </c>
      <c r="B1069" s="10" t="s">
        <v>2173</v>
      </c>
      <c r="C1069" s="10" t="s">
        <v>1181</v>
      </c>
      <c r="D1069" s="10" t="s">
        <v>1851</v>
      </c>
      <c r="E1069" s="11" t="n">
        <v>1499</v>
      </c>
      <c r="F1069" s="11" t="n">
        <v>1499</v>
      </c>
      <c r="G1069" s="12" t="n">
        <v>0</v>
      </c>
      <c r="H1069" s="13" t="n">
        <v>4.3</v>
      </c>
      <c r="I1069" s="11" t="n">
        <v>9331</v>
      </c>
      <c r="J1069" s="11" t="n">
        <f aca="false">E1069-F1069</f>
        <v>0</v>
      </c>
      <c r="K1069" s="10" t="str">
        <f aca="false">IF(G1069&lt;0.2,"0-19%",IF(G1069&lt;0.4,"20-39%",IF(G1069&lt;0.6,"40-59%",IF(G1069&lt;0.8,"60-79%","80%+"))))</f>
        <v>0-19%</v>
      </c>
      <c r="L1069" s="10" t="str">
        <f aca="false">IF(H1069="","No rating",IF(H1069&lt;3.5,"Below 3.5",IF(H1069&lt;4,"3.5-3.9",IF(H1069&lt;4.5,"4.0-4.4","4.5+"))))</f>
        <v>4.0-4.4</v>
      </c>
    </row>
    <row r="1070" customFormat="false" ht="15" hidden="false" customHeight="false" outlineLevel="0" collapsed="false">
      <c r="A1070" s="10" t="s">
        <v>2174</v>
      </c>
      <c r="B1070" s="10" t="s">
        <v>2175</v>
      </c>
      <c r="C1070" s="10" t="s">
        <v>1181</v>
      </c>
      <c r="D1070" s="10" t="s">
        <v>1854</v>
      </c>
      <c r="E1070" s="11" t="n">
        <v>59900</v>
      </c>
      <c r="F1070" s="11" t="n">
        <v>14400</v>
      </c>
      <c r="G1070" s="12" t="n">
        <v>0.76</v>
      </c>
      <c r="H1070" s="13" t="n">
        <v>4.4</v>
      </c>
      <c r="I1070" s="11" t="n">
        <v>3837</v>
      </c>
      <c r="J1070" s="11" t="n">
        <f aca="false">E1070-F1070</f>
        <v>45500</v>
      </c>
      <c r="K1070" s="10" t="str">
        <f aca="false">IF(G1070&lt;0.2,"0-19%",IF(G1070&lt;0.4,"20-39%",IF(G1070&lt;0.6,"40-59%",IF(G1070&lt;0.8,"60-79%","80%+"))))</f>
        <v>60-79%</v>
      </c>
      <c r="L1070" s="10" t="str">
        <f aca="false">IF(H1070="","No rating",IF(H1070&lt;3.5,"Below 3.5",IF(H1070&lt;4,"3.5-3.9",IF(H1070&lt;4.5,"4.0-4.4","4.5+"))))</f>
        <v>4.0-4.4</v>
      </c>
    </row>
    <row r="1071" customFormat="false" ht="15" hidden="false" customHeight="false" outlineLevel="0" collapsed="false">
      <c r="A1071" s="10" t="s">
        <v>2176</v>
      </c>
      <c r="B1071" s="10" t="s">
        <v>2177</v>
      </c>
      <c r="C1071" s="10" t="s">
        <v>1181</v>
      </c>
      <c r="D1071" s="10" t="s">
        <v>1851</v>
      </c>
      <c r="E1071" s="11" t="n">
        <v>1900</v>
      </c>
      <c r="F1071" s="11" t="n">
        <v>1699</v>
      </c>
      <c r="G1071" s="12" t="n">
        <v>0.11</v>
      </c>
      <c r="H1071" s="13" t="n">
        <v>3.6</v>
      </c>
      <c r="I1071" s="11" t="n">
        <v>11456</v>
      </c>
      <c r="J1071" s="11" t="n">
        <f aca="false">E1071-F1071</f>
        <v>201</v>
      </c>
      <c r="K1071" s="10" t="str">
        <f aca="false">IF(G1071&lt;0.2,"0-19%",IF(G1071&lt;0.4,"20-39%",IF(G1071&lt;0.6,"40-59%",IF(G1071&lt;0.8,"60-79%","80%+"))))</f>
        <v>0-19%</v>
      </c>
      <c r="L1071" s="10" t="str">
        <f aca="false">IF(H1071="","No rating",IF(H1071&lt;3.5,"Below 3.5",IF(H1071&lt;4,"3.5-3.9",IF(H1071&lt;4.5,"4.0-4.4","4.5+"))))</f>
        <v>3.5-3.9</v>
      </c>
    </row>
    <row r="1072" customFormat="false" ht="15" hidden="false" customHeight="false" outlineLevel="0" collapsed="false">
      <c r="A1072" s="10" t="s">
        <v>2178</v>
      </c>
      <c r="B1072" s="10" t="s">
        <v>2179</v>
      </c>
      <c r="C1072" s="10" t="s">
        <v>1181</v>
      </c>
      <c r="D1072" s="10" t="s">
        <v>1854</v>
      </c>
      <c r="E1072" s="11" t="n">
        <v>999</v>
      </c>
      <c r="F1072" s="11" t="n">
        <v>649</v>
      </c>
      <c r="G1072" s="12" t="n">
        <v>0.35</v>
      </c>
      <c r="H1072" s="13" t="n">
        <v>3.8</v>
      </c>
      <c r="I1072" s="11" t="n">
        <v>49</v>
      </c>
      <c r="J1072" s="11" t="n">
        <f aca="false">E1072-F1072</f>
        <v>350</v>
      </c>
      <c r="K1072" s="10" t="str">
        <f aca="false">IF(G1072&lt;0.2,"0-19%",IF(G1072&lt;0.4,"20-39%",IF(G1072&lt;0.6,"40-59%",IF(G1072&lt;0.8,"60-79%","80%+"))))</f>
        <v>20-39%</v>
      </c>
      <c r="L1072" s="10" t="str">
        <f aca="false">IF(H1072="","No rating",IF(H1072&lt;3.5,"Below 3.5",IF(H1072&lt;4,"3.5-3.9",IF(H1072&lt;4.5,"4.0-4.4","4.5+"))))</f>
        <v>3.5-3.9</v>
      </c>
    </row>
    <row r="1073" customFormat="false" ht="15" hidden="false" customHeight="false" outlineLevel="0" collapsed="false">
      <c r="A1073" s="10" t="s">
        <v>2180</v>
      </c>
      <c r="B1073" s="10" t="s">
        <v>2181</v>
      </c>
      <c r="C1073" s="10" t="s">
        <v>1181</v>
      </c>
      <c r="D1073" s="10" t="s">
        <v>1851</v>
      </c>
      <c r="E1073" s="11" t="n">
        <v>6375</v>
      </c>
      <c r="F1073" s="11" t="n">
        <v>3249</v>
      </c>
      <c r="G1073" s="12" t="n">
        <v>0.49</v>
      </c>
      <c r="H1073" s="13" t="n">
        <v>4</v>
      </c>
      <c r="I1073" s="11" t="n">
        <v>4978</v>
      </c>
      <c r="J1073" s="11" t="n">
        <f aca="false">E1073-F1073</f>
        <v>3126</v>
      </c>
      <c r="K1073" s="10" t="str">
        <f aca="false">IF(G1073&lt;0.2,"0-19%",IF(G1073&lt;0.4,"20-39%",IF(G1073&lt;0.6,"40-59%",IF(G1073&lt;0.8,"60-79%","80%+"))))</f>
        <v>40-59%</v>
      </c>
      <c r="L1073" s="10" t="str">
        <f aca="false">IF(H1073="","No rating",IF(H1073&lt;3.5,"Below 3.5",IF(H1073&lt;4,"3.5-3.9",IF(H1073&lt;4.5,"4.0-4.4","4.5+"))))</f>
        <v>4.0-4.4</v>
      </c>
    </row>
    <row r="1074" customFormat="false" ht="15" hidden="false" customHeight="false" outlineLevel="0" collapsed="false">
      <c r="A1074" s="10" t="s">
        <v>2182</v>
      </c>
      <c r="B1074" s="10" t="s">
        <v>2183</v>
      </c>
      <c r="C1074" s="10" t="s">
        <v>1181</v>
      </c>
      <c r="D1074" s="10" t="s">
        <v>1920</v>
      </c>
      <c r="E1074" s="11" t="n">
        <v>499</v>
      </c>
      <c r="F1074" s="11" t="n">
        <v>199</v>
      </c>
      <c r="G1074" s="12" t="n">
        <v>0.6</v>
      </c>
      <c r="H1074" s="13" t="n">
        <v>4.1</v>
      </c>
      <c r="I1074" s="11" t="n">
        <v>1996</v>
      </c>
      <c r="J1074" s="11" t="n">
        <f aca="false">E1074-F1074</f>
        <v>300</v>
      </c>
      <c r="K1074" s="10" t="str">
        <f aca="false">IF(G1074&lt;0.2,"0-19%",IF(G1074&lt;0.4,"20-39%",IF(G1074&lt;0.6,"40-59%",IF(G1074&lt;0.8,"60-79%","80%+"))))</f>
        <v>60-79%</v>
      </c>
      <c r="L1074" s="10" t="str">
        <f aca="false">IF(H1074="","No rating",IF(H1074&lt;3.5,"Below 3.5",IF(H1074&lt;4,"3.5-3.9",IF(H1074&lt;4.5,"4.0-4.4","4.5+"))))</f>
        <v>4.0-4.4</v>
      </c>
    </row>
    <row r="1075" customFormat="false" ht="15" hidden="false" customHeight="false" outlineLevel="0" collapsed="false">
      <c r="A1075" s="10" t="s">
        <v>2184</v>
      </c>
      <c r="B1075" s="10" t="s">
        <v>2185</v>
      </c>
      <c r="C1075" s="10" t="s">
        <v>1181</v>
      </c>
      <c r="D1075" s="10" t="s">
        <v>1851</v>
      </c>
      <c r="E1075" s="11" t="n">
        <v>1899</v>
      </c>
      <c r="F1075" s="11" t="n">
        <v>1099</v>
      </c>
      <c r="G1075" s="12" t="n">
        <v>0.42</v>
      </c>
      <c r="H1075" s="13" t="n">
        <v>4.3</v>
      </c>
      <c r="I1075" s="11" t="n">
        <v>1811</v>
      </c>
      <c r="J1075" s="11" t="n">
        <f aca="false">E1075-F1075</f>
        <v>800</v>
      </c>
      <c r="K1075" s="10" t="str">
        <f aca="false">IF(G1075&lt;0.2,"0-19%",IF(G1075&lt;0.4,"20-39%",IF(G1075&lt;0.6,"40-59%",IF(G1075&lt;0.8,"60-79%","80%+"))))</f>
        <v>40-59%</v>
      </c>
      <c r="L1075" s="10" t="str">
        <f aca="false">IF(H1075="","No rating",IF(H1075&lt;3.5,"Below 3.5",IF(H1075&lt;4,"3.5-3.9",IF(H1075&lt;4.5,"4.0-4.4","4.5+"))))</f>
        <v>4.0-4.4</v>
      </c>
    </row>
    <row r="1076" customFormat="false" ht="15" hidden="false" customHeight="false" outlineLevel="0" collapsed="false">
      <c r="A1076" s="10" t="s">
        <v>2186</v>
      </c>
      <c r="B1076" s="10" t="s">
        <v>2187</v>
      </c>
      <c r="C1076" s="10" t="s">
        <v>1181</v>
      </c>
      <c r="D1076" s="10" t="s">
        <v>1851</v>
      </c>
      <c r="E1076" s="11" t="n">
        <v>1490</v>
      </c>
      <c r="F1076" s="11" t="n">
        <v>664</v>
      </c>
      <c r="G1076" s="12" t="n">
        <v>0.55</v>
      </c>
      <c r="H1076" s="13" t="n">
        <v>4</v>
      </c>
      <c r="I1076" s="11" t="n">
        <v>2198</v>
      </c>
      <c r="J1076" s="11" t="n">
        <f aca="false">E1076-F1076</f>
        <v>826</v>
      </c>
      <c r="K1076" s="10" t="str">
        <f aca="false">IF(G1076&lt;0.2,"0-19%",IF(G1076&lt;0.4,"20-39%",IF(G1076&lt;0.6,"40-59%",IF(G1076&lt;0.8,"60-79%","80%+"))))</f>
        <v>40-59%</v>
      </c>
      <c r="L1076" s="10" t="str">
        <f aca="false">IF(H1076="","No rating",IF(H1076&lt;3.5,"Below 3.5",IF(H1076&lt;4,"3.5-3.9",IF(H1076&lt;4.5,"4.0-4.4","4.5+"))))</f>
        <v>4.0-4.4</v>
      </c>
    </row>
    <row r="1077" customFormat="false" ht="15" hidden="false" customHeight="false" outlineLevel="0" collapsed="false">
      <c r="A1077" s="10" t="s">
        <v>2188</v>
      </c>
      <c r="B1077" s="10" t="s">
        <v>2189</v>
      </c>
      <c r="C1077" s="10" t="s">
        <v>1181</v>
      </c>
      <c r="D1077" s="10" t="s">
        <v>1851</v>
      </c>
      <c r="E1077" s="11" t="n">
        <v>350</v>
      </c>
      <c r="F1077" s="11" t="n">
        <v>260</v>
      </c>
      <c r="G1077" s="12" t="n">
        <v>0.26</v>
      </c>
      <c r="H1077" s="13" t="n">
        <v>3.9</v>
      </c>
      <c r="I1077" s="11" t="n">
        <v>13127</v>
      </c>
      <c r="J1077" s="11" t="n">
        <f aca="false">E1077-F1077</f>
        <v>90</v>
      </c>
      <c r="K1077" s="10" t="str">
        <f aca="false">IF(G1077&lt;0.2,"0-19%",IF(G1077&lt;0.4,"20-39%",IF(G1077&lt;0.6,"40-59%",IF(G1077&lt;0.8,"60-79%","80%+"))))</f>
        <v>20-39%</v>
      </c>
      <c r="L1077" s="10" t="str">
        <f aca="false">IF(H1077="","No rating",IF(H1077&lt;3.5,"Below 3.5",IF(H1077&lt;4,"3.5-3.9",IF(H1077&lt;4.5,"4.0-4.4","4.5+"))))</f>
        <v>3.5-3.9</v>
      </c>
    </row>
    <row r="1078" customFormat="false" ht="15" hidden="false" customHeight="false" outlineLevel="0" collapsed="false">
      <c r="A1078" s="10" t="s">
        <v>2190</v>
      </c>
      <c r="B1078" s="10" t="s">
        <v>2191</v>
      </c>
      <c r="C1078" s="10" t="s">
        <v>1181</v>
      </c>
      <c r="D1078" s="10" t="s">
        <v>1854</v>
      </c>
      <c r="E1078" s="11" t="n">
        <v>8500</v>
      </c>
      <c r="F1078" s="11" t="n">
        <v>6499</v>
      </c>
      <c r="G1078" s="12" t="n">
        <v>0.24</v>
      </c>
      <c r="H1078" s="13" t="n">
        <v>4.4</v>
      </c>
      <c r="I1078" s="11" t="n">
        <v>5865</v>
      </c>
      <c r="J1078" s="11" t="n">
        <f aca="false">E1078-F1078</f>
        <v>2001</v>
      </c>
      <c r="K1078" s="10" t="str">
        <f aca="false">IF(G1078&lt;0.2,"0-19%",IF(G1078&lt;0.4,"20-39%",IF(G1078&lt;0.6,"40-59%",IF(G1078&lt;0.8,"60-79%","80%+"))))</f>
        <v>20-39%</v>
      </c>
      <c r="L1078" s="10" t="str">
        <f aca="false">IF(H1078="","No rating",IF(H1078&lt;3.5,"Below 3.5",IF(H1078&lt;4,"3.5-3.9",IF(H1078&lt;4.5,"4.0-4.4","4.5+"))))</f>
        <v>4.0-4.4</v>
      </c>
    </row>
    <row r="1079" customFormat="false" ht="15" hidden="false" customHeight="false" outlineLevel="0" collapsed="false">
      <c r="A1079" s="10" t="s">
        <v>2192</v>
      </c>
      <c r="B1079" s="10" t="s">
        <v>2193</v>
      </c>
      <c r="C1079" s="10" t="s">
        <v>1181</v>
      </c>
      <c r="D1079" s="10" t="s">
        <v>1851</v>
      </c>
      <c r="E1079" s="11" t="n">
        <v>2499</v>
      </c>
      <c r="F1079" s="11" t="n">
        <v>1484</v>
      </c>
      <c r="G1079" s="12" t="n">
        <v>0.41</v>
      </c>
      <c r="H1079" s="13" t="n">
        <v>3.7</v>
      </c>
      <c r="I1079" s="11" t="n">
        <v>1067</v>
      </c>
      <c r="J1079" s="11" t="n">
        <f aca="false">E1079-F1079</f>
        <v>1015</v>
      </c>
      <c r="K1079" s="10" t="str">
        <f aca="false">IF(G1079&lt;0.2,"0-19%",IF(G1079&lt;0.4,"20-39%",IF(G1079&lt;0.6,"40-59%",IF(G1079&lt;0.8,"60-79%","80%+"))))</f>
        <v>40-59%</v>
      </c>
      <c r="L1079" s="10" t="str">
        <f aca="false">IF(H1079="","No rating",IF(H1079&lt;3.5,"Below 3.5",IF(H1079&lt;4,"3.5-3.9",IF(H1079&lt;4.5,"4.0-4.4","4.5+"))))</f>
        <v>3.5-3.9</v>
      </c>
    </row>
    <row r="1080" customFormat="false" ht="15" hidden="false" customHeight="false" outlineLevel="0" collapsed="false">
      <c r="A1080" s="10" t="s">
        <v>2194</v>
      </c>
      <c r="B1080" s="10" t="s">
        <v>2195</v>
      </c>
      <c r="C1080" s="10" t="s">
        <v>1181</v>
      </c>
      <c r="D1080" s="10" t="s">
        <v>1851</v>
      </c>
      <c r="E1080" s="11" t="n">
        <v>1560</v>
      </c>
      <c r="F1080" s="11" t="n">
        <v>999</v>
      </c>
      <c r="G1080" s="12" t="n">
        <v>0.36</v>
      </c>
      <c r="H1080" s="13" t="n">
        <v>3.6</v>
      </c>
      <c r="I1080" s="11" t="n">
        <v>4881</v>
      </c>
      <c r="J1080" s="11" t="n">
        <f aca="false">E1080-F1080</f>
        <v>561</v>
      </c>
      <c r="K1080" s="10" t="str">
        <f aca="false">IF(G1080&lt;0.2,"0-19%",IF(G1080&lt;0.4,"20-39%",IF(G1080&lt;0.6,"40-59%",IF(G1080&lt;0.8,"60-79%","80%+"))))</f>
        <v>20-39%</v>
      </c>
      <c r="L1080" s="10" t="str">
        <f aca="false">IF(H1080="","No rating",IF(H1080&lt;3.5,"Below 3.5",IF(H1080&lt;4,"3.5-3.9",IF(H1080&lt;4.5,"4.0-4.4","4.5+"))))</f>
        <v>3.5-3.9</v>
      </c>
    </row>
    <row r="1081" customFormat="false" ht="15" hidden="false" customHeight="false" outlineLevel="0" collapsed="false">
      <c r="A1081" s="10" t="s">
        <v>2196</v>
      </c>
      <c r="B1081" s="10" t="s">
        <v>2197</v>
      </c>
      <c r="C1081" s="10" t="s">
        <v>1181</v>
      </c>
      <c r="D1081" s="10" t="s">
        <v>1851</v>
      </c>
      <c r="E1081" s="11" t="n">
        <v>6500</v>
      </c>
      <c r="F1081" s="11" t="n">
        <v>3299</v>
      </c>
      <c r="G1081" s="12" t="n">
        <v>0.49</v>
      </c>
      <c r="H1081" s="13" t="n">
        <v>3.7</v>
      </c>
      <c r="I1081" s="11" t="n">
        <v>11217</v>
      </c>
      <c r="J1081" s="11" t="n">
        <f aca="false">E1081-F1081</f>
        <v>3201</v>
      </c>
      <c r="K1081" s="10" t="str">
        <f aca="false">IF(G1081&lt;0.2,"0-19%",IF(G1081&lt;0.4,"20-39%",IF(G1081&lt;0.6,"40-59%",IF(G1081&lt;0.8,"60-79%","80%+"))))</f>
        <v>40-59%</v>
      </c>
      <c r="L1081" s="10" t="str">
        <f aca="false">IF(H1081="","No rating",IF(H1081&lt;3.5,"Below 3.5",IF(H1081&lt;4,"3.5-3.9",IF(H1081&lt;4.5,"4.0-4.4","4.5+"))))</f>
        <v>3.5-3.9</v>
      </c>
    </row>
    <row r="1082" customFormat="false" ht="15" hidden="false" customHeight="false" outlineLevel="0" collapsed="false">
      <c r="A1082" s="10" t="s">
        <v>2198</v>
      </c>
      <c r="B1082" s="10" t="s">
        <v>2199</v>
      </c>
      <c r="C1082" s="10" t="s">
        <v>1181</v>
      </c>
      <c r="D1082" s="10" t="s">
        <v>1851</v>
      </c>
      <c r="E1082" s="11" t="n">
        <v>999</v>
      </c>
      <c r="F1082" s="11" t="n">
        <v>259</v>
      </c>
      <c r="G1082" s="12" t="n">
        <v>0.74</v>
      </c>
      <c r="H1082" s="13" t="n">
        <v>4</v>
      </c>
      <c r="I1082" s="11" t="n">
        <v>43</v>
      </c>
      <c r="J1082" s="11" t="n">
        <f aca="false">E1082-F1082</f>
        <v>740</v>
      </c>
      <c r="K1082" s="10" t="str">
        <f aca="false">IF(G1082&lt;0.2,"0-19%",IF(G1082&lt;0.4,"20-39%",IF(G1082&lt;0.6,"40-59%",IF(G1082&lt;0.8,"60-79%","80%+"))))</f>
        <v>60-79%</v>
      </c>
      <c r="L1082" s="10" t="str">
        <f aca="false">IF(H1082="","No rating",IF(H1082&lt;3.5,"Below 3.5",IF(H1082&lt;4,"3.5-3.9",IF(H1082&lt;4.5,"4.0-4.4","4.5+"))))</f>
        <v>4.0-4.4</v>
      </c>
    </row>
    <row r="1083" customFormat="false" ht="15" hidden="false" customHeight="false" outlineLevel="0" collapsed="false">
      <c r="A1083" s="10" t="s">
        <v>2200</v>
      </c>
      <c r="B1083" s="10" t="s">
        <v>2201</v>
      </c>
      <c r="C1083" s="10" t="s">
        <v>1181</v>
      </c>
      <c r="D1083" s="10" t="s">
        <v>1851</v>
      </c>
      <c r="E1083" s="11" t="n">
        <v>7795</v>
      </c>
      <c r="F1083" s="11" t="n">
        <v>3249</v>
      </c>
      <c r="G1083" s="12" t="n">
        <v>0.58</v>
      </c>
      <c r="H1083" s="13" t="n">
        <v>4.2</v>
      </c>
      <c r="I1083" s="11" t="n">
        <v>4664</v>
      </c>
      <c r="J1083" s="11" t="n">
        <f aca="false">E1083-F1083</f>
        <v>4546</v>
      </c>
      <c r="K1083" s="10" t="str">
        <f aca="false">IF(G1083&lt;0.2,"0-19%",IF(G1083&lt;0.4,"20-39%",IF(G1083&lt;0.6,"40-59%",IF(G1083&lt;0.8,"60-79%","80%+"))))</f>
        <v>40-59%</v>
      </c>
      <c r="L1083" s="10" t="str">
        <f aca="false">IF(H1083="","No rating",IF(H1083&lt;3.5,"Below 3.5",IF(H1083&lt;4,"3.5-3.9",IF(H1083&lt;4.5,"4.0-4.4","4.5+"))))</f>
        <v>4.0-4.4</v>
      </c>
    </row>
    <row r="1084" customFormat="false" ht="15" hidden="false" customHeight="false" outlineLevel="0" collapsed="false">
      <c r="A1084" s="10" t="s">
        <v>2202</v>
      </c>
      <c r="B1084" s="10" t="s">
        <v>2203</v>
      </c>
      <c r="C1084" s="10" t="s">
        <v>1181</v>
      </c>
      <c r="D1084" s="10" t="s">
        <v>1851</v>
      </c>
      <c r="E1084" s="11" t="n">
        <v>5995</v>
      </c>
      <c r="F1084" s="11" t="n">
        <v>4280</v>
      </c>
      <c r="G1084" s="12" t="n">
        <v>0.29</v>
      </c>
      <c r="H1084" s="13" t="n">
        <v>3.8</v>
      </c>
      <c r="I1084" s="11" t="n">
        <v>2112</v>
      </c>
      <c r="J1084" s="11" t="n">
        <f aca="false">E1084-F1084</f>
        <v>1715</v>
      </c>
      <c r="K1084" s="10" t="str">
        <f aca="false">IF(G1084&lt;0.2,"0-19%",IF(G1084&lt;0.4,"20-39%",IF(G1084&lt;0.6,"40-59%",IF(G1084&lt;0.8,"60-79%","80%+"))))</f>
        <v>20-39%</v>
      </c>
      <c r="L1084" s="10" t="str">
        <f aca="false">IF(H1084="","No rating",IF(H1084&lt;3.5,"Below 3.5",IF(H1084&lt;4,"3.5-3.9",IF(H1084&lt;4.5,"4.0-4.4","4.5+"))))</f>
        <v>3.5-3.9</v>
      </c>
    </row>
    <row r="1085" customFormat="false" ht="15" hidden="false" customHeight="false" outlineLevel="0" collapsed="false">
      <c r="A1085" s="10" t="s">
        <v>2204</v>
      </c>
      <c r="B1085" s="10" t="s">
        <v>2205</v>
      </c>
      <c r="C1085" s="10" t="s">
        <v>1181</v>
      </c>
      <c r="D1085" s="10" t="s">
        <v>1920</v>
      </c>
      <c r="E1085" s="11" t="n">
        <v>299</v>
      </c>
      <c r="F1085" s="11" t="n">
        <v>189</v>
      </c>
      <c r="G1085" s="12" t="n">
        <v>0.37</v>
      </c>
      <c r="H1085" s="13" t="n">
        <v>4.2</v>
      </c>
      <c r="I1085" s="11" t="n">
        <v>2737</v>
      </c>
      <c r="J1085" s="11" t="n">
        <f aca="false">E1085-F1085</f>
        <v>110</v>
      </c>
      <c r="K1085" s="10" t="str">
        <f aca="false">IF(G1085&lt;0.2,"0-19%",IF(G1085&lt;0.4,"20-39%",IF(G1085&lt;0.6,"40-59%",IF(G1085&lt;0.8,"60-79%","80%+"))))</f>
        <v>20-39%</v>
      </c>
      <c r="L1085" s="10" t="str">
        <f aca="false">IF(H1085="","No rating",IF(H1085&lt;3.5,"Below 3.5",IF(H1085&lt;4,"3.5-3.9",IF(H1085&lt;4.5,"4.0-4.4","4.5+"))))</f>
        <v>4.0-4.4</v>
      </c>
    </row>
    <row r="1086" customFormat="false" ht="15" hidden="false" customHeight="false" outlineLevel="0" collapsed="false">
      <c r="A1086" s="10" t="s">
        <v>2206</v>
      </c>
      <c r="B1086" s="10" t="s">
        <v>2207</v>
      </c>
      <c r="C1086" s="10" t="s">
        <v>1181</v>
      </c>
      <c r="D1086" s="10" t="s">
        <v>1854</v>
      </c>
      <c r="E1086" s="11" t="n">
        <v>2349</v>
      </c>
      <c r="F1086" s="11" t="n">
        <v>1449</v>
      </c>
      <c r="G1086" s="12" t="n">
        <v>0.38</v>
      </c>
      <c r="H1086" s="13" t="n">
        <v>3.9</v>
      </c>
      <c r="I1086" s="11" t="n">
        <v>9019</v>
      </c>
      <c r="J1086" s="11" t="n">
        <f aca="false">E1086-F1086</f>
        <v>900</v>
      </c>
      <c r="K1086" s="10" t="str">
        <f aca="false">IF(G1086&lt;0.2,"0-19%",IF(G1086&lt;0.4,"20-39%",IF(G1086&lt;0.6,"40-59%",IF(G1086&lt;0.8,"60-79%","80%+"))))</f>
        <v>20-39%</v>
      </c>
      <c r="L1086" s="10" t="str">
        <f aca="false">IF(H1086="","No rating",IF(H1086&lt;3.5,"Below 3.5",IF(H1086&lt;4,"3.5-3.9",IF(H1086&lt;4.5,"4.0-4.4","4.5+"))))</f>
        <v>3.5-3.9</v>
      </c>
    </row>
    <row r="1087" customFormat="false" ht="15" hidden="false" customHeight="false" outlineLevel="0" collapsed="false">
      <c r="A1087" s="10" t="s">
        <v>2208</v>
      </c>
      <c r="B1087" s="10" t="s">
        <v>2209</v>
      </c>
      <c r="C1087" s="10" t="s">
        <v>1181</v>
      </c>
      <c r="D1087" s="10" t="s">
        <v>1920</v>
      </c>
      <c r="E1087" s="11" t="n">
        <v>499</v>
      </c>
      <c r="F1087" s="11" t="n">
        <v>199</v>
      </c>
      <c r="G1087" s="12" t="n">
        <v>0.6</v>
      </c>
      <c r="H1087" s="13" t="n">
        <v>4</v>
      </c>
      <c r="I1087" s="11" t="n">
        <v>10234</v>
      </c>
      <c r="J1087" s="11" t="n">
        <f aca="false">E1087-F1087</f>
        <v>300</v>
      </c>
      <c r="K1087" s="10" t="str">
        <f aca="false">IF(G1087&lt;0.2,"0-19%",IF(G1087&lt;0.4,"20-39%",IF(G1087&lt;0.6,"40-59%",IF(G1087&lt;0.8,"60-79%","80%+"))))</f>
        <v>60-79%</v>
      </c>
      <c r="L1087" s="10" t="str">
        <f aca="false">IF(H1087="","No rating",IF(H1087&lt;3.5,"Below 3.5",IF(H1087&lt;4,"3.5-3.9",IF(H1087&lt;4.5,"4.0-4.4","4.5+"))))</f>
        <v>4.0-4.4</v>
      </c>
    </row>
    <row r="1088" customFormat="false" ht="15" hidden="false" customHeight="false" outlineLevel="0" collapsed="false">
      <c r="A1088" s="10" t="s">
        <v>2210</v>
      </c>
      <c r="B1088" s="10" t="s">
        <v>2211</v>
      </c>
      <c r="C1088" s="10" t="s">
        <v>1181</v>
      </c>
      <c r="D1088" s="10" t="s">
        <v>1851</v>
      </c>
      <c r="E1088" s="11" t="n">
        <v>1299</v>
      </c>
      <c r="F1088" s="11" t="n">
        <v>474</v>
      </c>
      <c r="G1088" s="12" t="n">
        <v>0.64</v>
      </c>
      <c r="H1088" s="13" t="n">
        <v>4.1</v>
      </c>
      <c r="I1088" s="11" t="n">
        <v>550</v>
      </c>
      <c r="J1088" s="11" t="n">
        <f aca="false">E1088-F1088</f>
        <v>825</v>
      </c>
      <c r="K1088" s="10" t="str">
        <f aca="false">IF(G1088&lt;0.2,"0-19%",IF(G1088&lt;0.4,"20-39%",IF(G1088&lt;0.6,"40-59%",IF(G1088&lt;0.8,"60-79%","80%+"))))</f>
        <v>60-79%</v>
      </c>
      <c r="L1088" s="10" t="str">
        <f aca="false">IF(H1088="","No rating",IF(H1088&lt;3.5,"Below 3.5",IF(H1088&lt;4,"3.5-3.9",IF(H1088&lt;4.5,"4.0-4.4","4.5+"))))</f>
        <v>4.0-4.4</v>
      </c>
    </row>
    <row r="1089" customFormat="false" ht="15" hidden="false" customHeight="false" outlineLevel="0" collapsed="false">
      <c r="A1089" s="10" t="s">
        <v>2212</v>
      </c>
      <c r="B1089" s="10" t="s">
        <v>2213</v>
      </c>
      <c r="C1089" s="10" t="s">
        <v>1181</v>
      </c>
      <c r="D1089" s="10" t="s">
        <v>1851</v>
      </c>
      <c r="E1089" s="11" t="n">
        <v>499</v>
      </c>
      <c r="F1089" s="11" t="n">
        <v>279</v>
      </c>
      <c r="G1089" s="12" t="n">
        <v>0.44</v>
      </c>
      <c r="H1089" s="13" t="n">
        <v>4.8</v>
      </c>
      <c r="I1089" s="11" t="n">
        <v>28</v>
      </c>
      <c r="J1089" s="11" t="n">
        <f aca="false">E1089-F1089</f>
        <v>220</v>
      </c>
      <c r="K1089" s="10" t="str">
        <f aca="false">IF(G1089&lt;0.2,"0-19%",IF(G1089&lt;0.4,"20-39%",IF(G1089&lt;0.6,"40-59%",IF(G1089&lt;0.8,"60-79%","80%+"))))</f>
        <v>40-59%</v>
      </c>
      <c r="L1089" s="10" t="str">
        <f aca="false">IF(H1089="","No rating",IF(H1089&lt;3.5,"Below 3.5",IF(H1089&lt;4,"3.5-3.9",IF(H1089&lt;4.5,"4.0-4.4","4.5+"))))</f>
        <v>4.5+</v>
      </c>
    </row>
    <row r="1090" customFormat="false" ht="15" hidden="false" customHeight="false" outlineLevel="0" collapsed="false">
      <c r="A1090" s="10" t="s">
        <v>2214</v>
      </c>
      <c r="B1090" s="10" t="s">
        <v>2215</v>
      </c>
      <c r="C1090" s="10" t="s">
        <v>1181</v>
      </c>
      <c r="D1090" s="10" t="s">
        <v>1854</v>
      </c>
      <c r="E1090" s="11" t="n">
        <v>4775</v>
      </c>
      <c r="F1090" s="11" t="n">
        <v>1999</v>
      </c>
      <c r="G1090" s="12" t="n">
        <v>0.58</v>
      </c>
      <c r="H1090" s="13" t="n">
        <v>4.2</v>
      </c>
      <c r="I1090" s="11" t="n">
        <v>1353</v>
      </c>
      <c r="J1090" s="11" t="n">
        <f aca="false">E1090-F1090</f>
        <v>2776</v>
      </c>
      <c r="K1090" s="10" t="str">
        <f aca="false">IF(G1090&lt;0.2,"0-19%",IF(G1090&lt;0.4,"20-39%",IF(G1090&lt;0.6,"40-59%",IF(G1090&lt;0.8,"60-79%","80%+"))))</f>
        <v>40-59%</v>
      </c>
      <c r="L1090" s="10" t="str">
        <f aca="false">IF(H1090="","No rating",IF(H1090&lt;3.5,"Below 3.5",IF(H1090&lt;4,"3.5-3.9",IF(H1090&lt;4.5,"4.0-4.4","4.5+"))))</f>
        <v>4.0-4.4</v>
      </c>
    </row>
    <row r="1091" customFormat="false" ht="15" hidden="false" customHeight="false" outlineLevel="0" collapsed="false">
      <c r="A1091" s="10" t="s">
        <v>2216</v>
      </c>
      <c r="B1091" s="10" t="s">
        <v>2217</v>
      </c>
      <c r="C1091" s="10" t="s">
        <v>1181</v>
      </c>
      <c r="D1091" s="10" t="s">
        <v>1851</v>
      </c>
      <c r="E1091" s="11" t="n">
        <v>1230</v>
      </c>
      <c r="F1091" s="11" t="n">
        <v>799</v>
      </c>
      <c r="G1091" s="12" t="n">
        <v>0.35</v>
      </c>
      <c r="H1091" s="13" t="n">
        <v>4.1</v>
      </c>
      <c r="I1091" s="11" t="n">
        <v>2138</v>
      </c>
      <c r="J1091" s="11" t="n">
        <f aca="false">E1091-F1091</f>
        <v>431</v>
      </c>
      <c r="K1091" s="10" t="str">
        <f aca="false">IF(G1091&lt;0.2,"0-19%",IF(G1091&lt;0.4,"20-39%",IF(G1091&lt;0.6,"40-59%",IF(G1091&lt;0.8,"60-79%","80%+"))))</f>
        <v>20-39%</v>
      </c>
      <c r="L1091" s="10" t="str">
        <f aca="false">IF(H1091="","No rating",IF(H1091&lt;3.5,"Below 3.5",IF(H1091&lt;4,"3.5-3.9",IF(H1091&lt;4.5,"4.0-4.4","4.5+"))))</f>
        <v>4.0-4.4</v>
      </c>
    </row>
    <row r="1092" customFormat="false" ht="15" hidden="false" customHeight="false" outlineLevel="0" collapsed="false">
      <c r="A1092" s="10" t="s">
        <v>2218</v>
      </c>
      <c r="B1092" s="10" t="s">
        <v>2219</v>
      </c>
      <c r="C1092" s="10" t="s">
        <v>1181</v>
      </c>
      <c r="D1092" s="10" t="s">
        <v>1851</v>
      </c>
      <c r="E1092" s="11" t="n">
        <v>1999</v>
      </c>
      <c r="F1092" s="11" t="n">
        <v>949</v>
      </c>
      <c r="G1092" s="12" t="n">
        <v>0.53</v>
      </c>
      <c r="H1092" s="13" t="n">
        <v>4</v>
      </c>
      <c r="I1092" s="11" t="n">
        <v>1679</v>
      </c>
      <c r="J1092" s="11" t="n">
        <f aca="false">E1092-F1092</f>
        <v>1050</v>
      </c>
      <c r="K1092" s="10" t="str">
        <f aca="false">IF(G1092&lt;0.2,"0-19%",IF(G1092&lt;0.4,"20-39%",IF(G1092&lt;0.6,"40-59%",IF(G1092&lt;0.8,"60-79%","80%+"))))</f>
        <v>40-59%</v>
      </c>
      <c r="L1092" s="10" t="str">
        <f aca="false">IF(H1092="","No rating",IF(H1092&lt;3.5,"Below 3.5",IF(H1092&lt;4,"3.5-3.9",IF(H1092&lt;4.5,"4.0-4.4","4.5+"))))</f>
        <v>4.0-4.4</v>
      </c>
    </row>
    <row r="1093" customFormat="false" ht="15" hidden="false" customHeight="false" outlineLevel="0" collapsed="false">
      <c r="A1093" s="10" t="s">
        <v>2220</v>
      </c>
      <c r="B1093" s="10" t="s">
        <v>2221</v>
      </c>
      <c r="C1093" s="10" t="s">
        <v>1181</v>
      </c>
      <c r="D1093" s="10" t="s">
        <v>1851</v>
      </c>
      <c r="E1093" s="11" t="n">
        <v>5156</v>
      </c>
      <c r="F1093" s="11" t="n">
        <v>3657.66</v>
      </c>
      <c r="G1093" s="12" t="n">
        <v>0.29</v>
      </c>
      <c r="H1093" s="13" t="n">
        <v>3.9</v>
      </c>
      <c r="I1093" s="11" t="n">
        <v>12837</v>
      </c>
      <c r="J1093" s="11" t="n">
        <f aca="false">E1093-F1093</f>
        <v>1498.34</v>
      </c>
      <c r="K1093" s="10" t="str">
        <f aca="false">IF(G1093&lt;0.2,"0-19%",IF(G1093&lt;0.4,"20-39%",IF(G1093&lt;0.6,"40-59%",IF(G1093&lt;0.8,"60-79%","80%+"))))</f>
        <v>20-39%</v>
      </c>
      <c r="L1093" s="10" t="str">
        <f aca="false">IF(H1093="","No rating",IF(H1093&lt;3.5,"Below 3.5",IF(H1093&lt;4,"3.5-3.9",IF(H1093&lt;4.5,"4.0-4.4","4.5+"))))</f>
        <v>3.5-3.9</v>
      </c>
    </row>
    <row r="1094" customFormat="false" ht="15" hidden="false" customHeight="false" outlineLevel="0" collapsed="false">
      <c r="A1094" s="10" t="s">
        <v>2222</v>
      </c>
      <c r="B1094" s="10" t="s">
        <v>2223</v>
      </c>
      <c r="C1094" s="10" t="s">
        <v>1181</v>
      </c>
      <c r="D1094" s="10" t="s">
        <v>1851</v>
      </c>
      <c r="E1094" s="11" t="n">
        <v>1999</v>
      </c>
      <c r="F1094" s="11" t="n">
        <v>1699</v>
      </c>
      <c r="G1094" s="12" t="n">
        <v>0.15</v>
      </c>
      <c r="H1094" s="13" t="n">
        <v>4.1</v>
      </c>
      <c r="I1094" s="11" t="n">
        <v>8873</v>
      </c>
      <c r="J1094" s="11" t="n">
        <f aca="false">E1094-F1094</f>
        <v>300</v>
      </c>
      <c r="K1094" s="10" t="str">
        <f aca="false">IF(G1094&lt;0.2,"0-19%",IF(G1094&lt;0.4,"20-39%",IF(G1094&lt;0.6,"40-59%",IF(G1094&lt;0.8,"60-79%","80%+"))))</f>
        <v>0-19%</v>
      </c>
      <c r="L1094" s="10" t="str">
        <f aca="false">IF(H1094="","No rating",IF(H1094&lt;3.5,"Below 3.5",IF(H1094&lt;4,"3.5-3.9",IF(H1094&lt;4.5,"4.0-4.4","4.5+"))))</f>
        <v>4.0-4.4</v>
      </c>
    </row>
    <row r="1095" customFormat="false" ht="15" hidden="false" customHeight="false" outlineLevel="0" collapsed="false">
      <c r="A1095" s="10" t="s">
        <v>2224</v>
      </c>
      <c r="B1095" s="10" t="s">
        <v>2225</v>
      </c>
      <c r="C1095" s="10" t="s">
        <v>1181</v>
      </c>
      <c r="D1095" s="10" t="s">
        <v>1851</v>
      </c>
      <c r="E1095" s="11" t="n">
        <v>2095</v>
      </c>
      <c r="F1095" s="11" t="n">
        <v>1849</v>
      </c>
      <c r="G1095" s="12" t="n">
        <v>0.12</v>
      </c>
      <c r="H1095" s="13" t="n">
        <v>4.3</v>
      </c>
      <c r="I1095" s="11" t="n">
        <v>7681</v>
      </c>
      <c r="J1095" s="11" t="n">
        <f aca="false">E1095-F1095</f>
        <v>246</v>
      </c>
      <c r="K1095" s="10" t="str">
        <f aca="false">IF(G1095&lt;0.2,"0-19%",IF(G1095&lt;0.4,"20-39%",IF(G1095&lt;0.6,"40-59%",IF(G1095&lt;0.8,"60-79%","80%+"))))</f>
        <v>0-19%</v>
      </c>
      <c r="L1095" s="10" t="str">
        <f aca="false">IF(H1095="","No rating",IF(H1095&lt;3.5,"Below 3.5",IF(H1095&lt;4,"3.5-3.9",IF(H1095&lt;4.5,"4.0-4.4","4.5+"))))</f>
        <v>4.0-4.4</v>
      </c>
    </row>
    <row r="1096" customFormat="false" ht="15" hidden="false" customHeight="false" outlineLevel="0" collapsed="false">
      <c r="A1096" s="10" t="s">
        <v>2226</v>
      </c>
      <c r="B1096" s="10" t="s">
        <v>2227</v>
      </c>
      <c r="C1096" s="10" t="s">
        <v>1181</v>
      </c>
      <c r="D1096" s="10" t="s">
        <v>1854</v>
      </c>
      <c r="E1096" s="11" t="n">
        <v>19825</v>
      </c>
      <c r="F1096" s="11" t="n">
        <v>12499</v>
      </c>
      <c r="G1096" s="12" t="n">
        <v>0.37</v>
      </c>
      <c r="H1096" s="13" t="n">
        <v>4.1</v>
      </c>
      <c r="I1096" s="11" t="n">
        <v>322</v>
      </c>
      <c r="J1096" s="11" t="n">
        <f aca="false">E1096-F1096</f>
        <v>7326</v>
      </c>
      <c r="K1096" s="10" t="str">
        <f aca="false">IF(G1096&lt;0.2,"0-19%",IF(G1096&lt;0.4,"20-39%",IF(G1096&lt;0.6,"40-59%",IF(G1096&lt;0.8,"60-79%","80%+"))))</f>
        <v>20-39%</v>
      </c>
      <c r="L1096" s="10" t="str">
        <f aca="false">IF(H1096="","No rating",IF(H1096&lt;3.5,"Below 3.5",IF(H1096&lt;4,"3.5-3.9",IF(H1096&lt;4.5,"4.0-4.4","4.5+"))))</f>
        <v>4.0-4.4</v>
      </c>
    </row>
    <row r="1097" customFormat="false" ht="15" hidden="false" customHeight="false" outlineLevel="0" collapsed="false">
      <c r="A1097" s="10" t="s">
        <v>2228</v>
      </c>
      <c r="B1097" s="10" t="s">
        <v>2229</v>
      </c>
      <c r="C1097" s="10" t="s">
        <v>1181</v>
      </c>
      <c r="D1097" s="10" t="s">
        <v>1851</v>
      </c>
      <c r="E1097" s="11" t="n">
        <v>1920</v>
      </c>
      <c r="F1097" s="11" t="n">
        <v>1099</v>
      </c>
      <c r="G1097" s="12" t="n">
        <v>0.43</v>
      </c>
      <c r="H1097" s="13" t="n">
        <v>4.2</v>
      </c>
      <c r="I1097" s="11" t="n">
        <v>9772</v>
      </c>
      <c r="J1097" s="11" t="n">
        <f aca="false">E1097-F1097</f>
        <v>821</v>
      </c>
      <c r="K1097" s="10" t="str">
        <f aca="false">IF(G1097&lt;0.2,"0-19%",IF(G1097&lt;0.4,"20-39%",IF(G1097&lt;0.6,"40-59%",IF(G1097&lt;0.8,"60-79%","80%+"))))</f>
        <v>40-59%</v>
      </c>
      <c r="L1097" s="10" t="str">
        <f aca="false">IF(H1097="","No rating",IF(H1097&lt;3.5,"Below 3.5",IF(H1097&lt;4,"3.5-3.9",IF(H1097&lt;4.5,"4.0-4.4","4.5+"))))</f>
        <v>4.0-4.4</v>
      </c>
    </row>
    <row r="1098" customFormat="false" ht="15" hidden="false" customHeight="false" outlineLevel="0" collapsed="false">
      <c r="A1098" s="10" t="s">
        <v>2230</v>
      </c>
      <c r="B1098" s="10" t="s">
        <v>2231</v>
      </c>
      <c r="C1098" s="10" t="s">
        <v>1181</v>
      </c>
      <c r="D1098" s="10" t="s">
        <v>1851</v>
      </c>
      <c r="E1098" s="11" t="n">
        <v>16000</v>
      </c>
      <c r="F1098" s="11" t="n">
        <v>8199</v>
      </c>
      <c r="G1098" s="12" t="n">
        <v>0.49</v>
      </c>
      <c r="H1098" s="13" t="n">
        <v>3.9</v>
      </c>
      <c r="I1098" s="11" t="n">
        <v>18497</v>
      </c>
      <c r="J1098" s="11" t="n">
        <f aca="false">E1098-F1098</f>
        <v>7801</v>
      </c>
      <c r="K1098" s="10" t="str">
        <f aca="false">IF(G1098&lt;0.2,"0-19%",IF(G1098&lt;0.4,"20-39%",IF(G1098&lt;0.6,"40-59%",IF(G1098&lt;0.8,"60-79%","80%+"))))</f>
        <v>40-59%</v>
      </c>
      <c r="L1098" s="10" t="str">
        <f aca="false">IF(H1098="","No rating",IF(H1098&lt;3.5,"Below 3.5",IF(H1098&lt;4,"3.5-3.9",IF(H1098&lt;4.5,"4.0-4.4","4.5+"))))</f>
        <v>3.5-3.9</v>
      </c>
    </row>
    <row r="1099" customFormat="false" ht="15" hidden="false" customHeight="false" outlineLevel="0" collapsed="false">
      <c r="A1099" s="10" t="s">
        <v>2232</v>
      </c>
      <c r="B1099" s="10" t="s">
        <v>2233</v>
      </c>
      <c r="C1099" s="10" t="s">
        <v>1181</v>
      </c>
      <c r="D1099" s="10" t="s">
        <v>1851</v>
      </c>
      <c r="E1099" s="11" t="n">
        <v>2199</v>
      </c>
      <c r="F1099" s="11" t="n">
        <v>499</v>
      </c>
      <c r="G1099" s="12" t="n">
        <v>0.77</v>
      </c>
      <c r="H1099" s="13" t="n">
        <v>3.7</v>
      </c>
      <c r="I1099" s="11" t="n">
        <v>53</v>
      </c>
      <c r="J1099" s="11" t="n">
        <f aca="false">E1099-F1099</f>
        <v>1700</v>
      </c>
      <c r="K1099" s="10" t="str">
        <f aca="false">IF(G1099&lt;0.2,"0-19%",IF(G1099&lt;0.4,"20-39%",IF(G1099&lt;0.6,"40-59%",IF(G1099&lt;0.8,"60-79%","80%+"))))</f>
        <v>60-79%</v>
      </c>
      <c r="L1099" s="10" t="str">
        <f aca="false">IF(H1099="","No rating",IF(H1099&lt;3.5,"Below 3.5",IF(H1099&lt;4,"3.5-3.9",IF(H1099&lt;4.5,"4.0-4.4","4.5+"))))</f>
        <v>3.5-3.9</v>
      </c>
    </row>
    <row r="1100" customFormat="false" ht="15" hidden="false" customHeight="false" outlineLevel="0" collapsed="false">
      <c r="A1100" s="10" t="s">
        <v>2234</v>
      </c>
      <c r="B1100" s="10" t="s">
        <v>2235</v>
      </c>
      <c r="C1100" s="10" t="s">
        <v>1181</v>
      </c>
      <c r="D1100" s="10" t="s">
        <v>1851</v>
      </c>
      <c r="E1100" s="11" t="n">
        <v>14999</v>
      </c>
      <c r="F1100" s="11" t="n">
        <v>6999</v>
      </c>
      <c r="G1100" s="12" t="n">
        <v>0.53</v>
      </c>
      <c r="H1100" s="13" t="n">
        <v>4.1</v>
      </c>
      <c r="I1100" s="11" t="n">
        <v>1728</v>
      </c>
      <c r="J1100" s="11" t="n">
        <f aca="false">E1100-F1100</f>
        <v>8000</v>
      </c>
      <c r="K1100" s="10" t="str">
        <f aca="false">IF(G1100&lt;0.2,"0-19%",IF(G1100&lt;0.4,"20-39%",IF(G1100&lt;0.6,"40-59%",IF(G1100&lt;0.8,"60-79%","80%+"))))</f>
        <v>40-59%</v>
      </c>
      <c r="L1100" s="10" t="str">
        <f aca="false">IF(H1100="","No rating",IF(H1100&lt;3.5,"Below 3.5",IF(H1100&lt;4,"3.5-3.9",IF(H1100&lt;4.5,"4.0-4.4","4.5+"))))</f>
        <v>4.0-4.4</v>
      </c>
    </row>
    <row r="1101" customFormat="false" ht="15" hidden="false" customHeight="false" outlineLevel="0" collapsed="false">
      <c r="A1101" s="10" t="s">
        <v>2236</v>
      </c>
      <c r="B1101" s="10" t="s">
        <v>2237</v>
      </c>
      <c r="C1101" s="10" t="s">
        <v>1181</v>
      </c>
      <c r="D1101" s="10" t="s">
        <v>1851</v>
      </c>
      <c r="E1101" s="11" t="n">
        <v>1799</v>
      </c>
      <c r="F1101" s="11" t="n">
        <v>1595</v>
      </c>
      <c r="G1101" s="12" t="n">
        <v>0.11</v>
      </c>
      <c r="H1101" s="13" t="n">
        <v>4</v>
      </c>
      <c r="I1101" s="11" t="n">
        <v>2877</v>
      </c>
      <c r="J1101" s="11" t="n">
        <f aca="false">E1101-F1101</f>
        <v>204</v>
      </c>
      <c r="K1101" s="10" t="str">
        <f aca="false">IF(G1101&lt;0.2,"0-19%",IF(G1101&lt;0.4,"20-39%",IF(G1101&lt;0.6,"40-59%",IF(G1101&lt;0.8,"60-79%","80%+"))))</f>
        <v>0-19%</v>
      </c>
      <c r="L1101" s="10" t="str">
        <f aca="false">IF(H1101="","No rating",IF(H1101&lt;3.5,"Below 3.5",IF(H1101&lt;4,"3.5-3.9",IF(H1101&lt;4.5,"4.0-4.4","4.5+"))))</f>
        <v>4.0-4.4</v>
      </c>
    </row>
    <row r="1102" customFormat="false" ht="15" hidden="false" customHeight="false" outlineLevel="0" collapsed="false">
      <c r="A1102" s="10" t="s">
        <v>2238</v>
      </c>
      <c r="B1102" s="10" t="s">
        <v>2239</v>
      </c>
      <c r="C1102" s="10" t="s">
        <v>1181</v>
      </c>
      <c r="D1102" s="10" t="s">
        <v>1851</v>
      </c>
      <c r="E1102" s="11" t="n">
        <v>1950</v>
      </c>
      <c r="F1102" s="11" t="n">
        <v>1049</v>
      </c>
      <c r="G1102" s="12" t="n">
        <v>0.46</v>
      </c>
      <c r="H1102" s="13" t="n">
        <v>3.8</v>
      </c>
      <c r="I1102" s="11" t="n">
        <v>250</v>
      </c>
      <c r="J1102" s="11" t="n">
        <f aca="false">E1102-F1102</f>
        <v>901</v>
      </c>
      <c r="K1102" s="10" t="str">
        <f aca="false">IF(G1102&lt;0.2,"0-19%",IF(G1102&lt;0.4,"20-39%",IF(G1102&lt;0.6,"40-59%",IF(G1102&lt;0.8,"60-79%","80%+"))))</f>
        <v>40-59%</v>
      </c>
      <c r="L1102" s="10" t="str">
        <f aca="false">IF(H1102="","No rating",IF(H1102&lt;3.5,"Below 3.5",IF(H1102&lt;4,"3.5-3.9",IF(H1102&lt;4.5,"4.0-4.4","4.5+"))))</f>
        <v>3.5-3.9</v>
      </c>
    </row>
    <row r="1103" customFormat="false" ht="15" hidden="false" customHeight="false" outlineLevel="0" collapsed="false">
      <c r="A1103" s="10" t="s">
        <v>2240</v>
      </c>
      <c r="B1103" s="10" t="s">
        <v>2241</v>
      </c>
      <c r="C1103" s="10" t="s">
        <v>1181</v>
      </c>
      <c r="D1103" s="10" t="s">
        <v>1851</v>
      </c>
      <c r="E1103" s="11" t="n">
        <v>2995</v>
      </c>
      <c r="F1103" s="11" t="n">
        <v>1182</v>
      </c>
      <c r="G1103" s="12" t="n">
        <v>0.61</v>
      </c>
      <c r="H1103" s="13" t="n">
        <v>4.2</v>
      </c>
      <c r="I1103" s="11" t="n">
        <v>5178</v>
      </c>
      <c r="J1103" s="11" t="n">
        <f aca="false">E1103-F1103</f>
        <v>1813</v>
      </c>
      <c r="K1103" s="10" t="str">
        <f aca="false">IF(G1103&lt;0.2,"0-19%",IF(G1103&lt;0.4,"20-39%",IF(G1103&lt;0.6,"40-59%",IF(G1103&lt;0.8,"60-79%","80%+"))))</f>
        <v>60-79%</v>
      </c>
      <c r="L1103" s="10" t="str">
        <f aca="false">IF(H1103="","No rating",IF(H1103&lt;3.5,"Below 3.5",IF(H1103&lt;4,"3.5-3.9",IF(H1103&lt;4.5,"4.0-4.4","4.5+"))))</f>
        <v>4.0-4.4</v>
      </c>
    </row>
    <row r="1104" customFormat="false" ht="15" hidden="false" customHeight="false" outlineLevel="0" collapsed="false">
      <c r="A1104" s="10" t="s">
        <v>2242</v>
      </c>
      <c r="B1104" s="10" t="s">
        <v>2243</v>
      </c>
      <c r="C1104" s="10" t="s">
        <v>1181</v>
      </c>
      <c r="D1104" s="10" t="s">
        <v>1851</v>
      </c>
      <c r="E1104" s="11" t="n">
        <v>999</v>
      </c>
      <c r="F1104" s="11" t="n">
        <v>499</v>
      </c>
      <c r="G1104" s="12" t="n">
        <v>0.5</v>
      </c>
      <c r="H1104" s="13" t="n">
        <v>4.6</v>
      </c>
      <c r="I1104" s="11" t="n">
        <v>79</v>
      </c>
      <c r="J1104" s="11" t="n">
        <f aca="false">E1104-F1104</f>
        <v>500</v>
      </c>
      <c r="K1104" s="10" t="str">
        <f aca="false">IF(G1104&lt;0.2,"0-19%",IF(G1104&lt;0.4,"20-39%",IF(G1104&lt;0.6,"40-59%",IF(G1104&lt;0.8,"60-79%","80%+"))))</f>
        <v>40-59%</v>
      </c>
      <c r="L1104" s="10" t="str">
        <f aca="false">IF(H1104="","No rating",IF(H1104&lt;3.5,"Below 3.5",IF(H1104&lt;4,"3.5-3.9",IF(H1104&lt;4.5,"4.0-4.4","4.5+"))))</f>
        <v>4.5+</v>
      </c>
    </row>
    <row r="1105" customFormat="false" ht="15" hidden="false" customHeight="false" outlineLevel="0" collapsed="false">
      <c r="A1105" s="10" t="s">
        <v>2244</v>
      </c>
      <c r="B1105" s="10" t="s">
        <v>2245</v>
      </c>
      <c r="C1105" s="10" t="s">
        <v>1181</v>
      </c>
      <c r="D1105" s="10" t="s">
        <v>1854</v>
      </c>
      <c r="E1105" s="11" t="n">
        <v>11995</v>
      </c>
      <c r="F1105" s="11" t="n">
        <v>8799</v>
      </c>
      <c r="G1105" s="12" t="n">
        <v>0.27</v>
      </c>
      <c r="H1105" s="13" t="n">
        <v>4.1</v>
      </c>
      <c r="I1105" s="11" t="n">
        <v>4157</v>
      </c>
      <c r="J1105" s="11" t="n">
        <f aca="false">E1105-F1105</f>
        <v>3196</v>
      </c>
      <c r="K1105" s="10" t="str">
        <f aca="false">IF(G1105&lt;0.2,"0-19%",IF(G1105&lt;0.4,"20-39%",IF(G1105&lt;0.6,"40-59%",IF(G1105&lt;0.8,"60-79%","80%+"))))</f>
        <v>20-39%</v>
      </c>
      <c r="L1105" s="10" t="str">
        <f aca="false">IF(H1105="","No rating",IF(H1105&lt;3.5,"Below 3.5",IF(H1105&lt;4,"3.5-3.9",IF(H1105&lt;4.5,"4.0-4.4","4.5+"))))</f>
        <v>4.0-4.4</v>
      </c>
    </row>
    <row r="1106" customFormat="false" ht="15" hidden="false" customHeight="false" outlineLevel="0" collapsed="false">
      <c r="A1106" s="10" t="s">
        <v>2246</v>
      </c>
      <c r="B1106" s="10" t="s">
        <v>2247</v>
      </c>
      <c r="C1106" s="10" t="s">
        <v>1181</v>
      </c>
      <c r="D1106" s="10" t="s">
        <v>1854</v>
      </c>
      <c r="E1106" s="11" t="n">
        <v>2999</v>
      </c>
      <c r="F1106" s="11" t="n">
        <v>1529</v>
      </c>
      <c r="G1106" s="12" t="n">
        <v>0.49</v>
      </c>
      <c r="H1106" s="13" t="n">
        <v>3.3</v>
      </c>
      <c r="I1106" s="11" t="n">
        <v>29</v>
      </c>
      <c r="J1106" s="11" t="n">
        <f aca="false">E1106-F1106</f>
        <v>1470</v>
      </c>
      <c r="K1106" s="10" t="str">
        <f aca="false">IF(G1106&lt;0.2,"0-19%",IF(G1106&lt;0.4,"20-39%",IF(G1106&lt;0.6,"40-59%",IF(G1106&lt;0.8,"60-79%","80%+"))))</f>
        <v>40-59%</v>
      </c>
      <c r="L1106" s="10" t="str">
        <f aca="false">IF(H1106="","No rating",IF(H1106&lt;3.5,"Below 3.5",IF(H1106&lt;4,"3.5-3.9",IF(H1106&lt;4.5,"4.0-4.4","4.5+"))))</f>
        <v>Below 3.5</v>
      </c>
    </row>
    <row r="1107" customFormat="false" ht="15" hidden="false" customHeight="false" outlineLevel="0" collapsed="false">
      <c r="A1107" s="10" t="s">
        <v>2248</v>
      </c>
      <c r="B1107" s="10" t="s">
        <v>2249</v>
      </c>
      <c r="C1107" s="10" t="s">
        <v>1181</v>
      </c>
      <c r="D1107" s="10" t="s">
        <v>1851</v>
      </c>
      <c r="E1107" s="11" t="n">
        <v>1690</v>
      </c>
      <c r="F1107" s="11" t="n">
        <v>1199</v>
      </c>
      <c r="G1107" s="12" t="n">
        <v>0.29</v>
      </c>
      <c r="H1107" s="13" t="n">
        <v>4.2</v>
      </c>
      <c r="I1107" s="11" t="n">
        <v>4580</v>
      </c>
      <c r="J1107" s="11" t="n">
        <f aca="false">E1107-F1107</f>
        <v>491</v>
      </c>
      <c r="K1107" s="10" t="str">
        <f aca="false">IF(G1107&lt;0.2,"0-19%",IF(G1107&lt;0.4,"20-39%",IF(G1107&lt;0.6,"40-59%",IF(G1107&lt;0.8,"60-79%","80%+"))))</f>
        <v>20-39%</v>
      </c>
      <c r="L1107" s="10" t="str">
        <f aca="false">IF(H1107="","No rating",IF(H1107&lt;3.5,"Below 3.5",IF(H1107&lt;4,"3.5-3.9",IF(H1107&lt;4.5,"4.0-4.4","4.5+"))))</f>
        <v>4.0-4.4</v>
      </c>
    </row>
    <row r="1108" customFormat="false" ht="15" hidden="false" customHeight="false" outlineLevel="0" collapsed="false">
      <c r="A1108" s="10" t="s">
        <v>2250</v>
      </c>
      <c r="B1108" s="10" t="s">
        <v>2251</v>
      </c>
      <c r="C1108" s="10" t="s">
        <v>1181</v>
      </c>
      <c r="D1108" s="10" t="s">
        <v>1851</v>
      </c>
      <c r="E1108" s="11" t="n">
        <v>1790</v>
      </c>
      <c r="F1108" s="11" t="n">
        <v>1052</v>
      </c>
      <c r="G1108" s="12" t="n">
        <v>0.41</v>
      </c>
      <c r="H1108" s="13" t="n">
        <v>4.3</v>
      </c>
      <c r="I1108" s="11" t="n">
        <v>1404</v>
      </c>
      <c r="J1108" s="11" t="n">
        <f aca="false">E1108-F1108</f>
        <v>738</v>
      </c>
      <c r="K1108" s="10" t="str">
        <f aca="false">IF(G1108&lt;0.2,"0-19%",IF(G1108&lt;0.4,"20-39%",IF(G1108&lt;0.6,"40-59%",IF(G1108&lt;0.8,"60-79%","80%+"))))</f>
        <v>40-59%</v>
      </c>
      <c r="L1108" s="10" t="str">
        <f aca="false">IF(H1108="","No rating",IF(H1108&lt;3.5,"Below 3.5",IF(H1108&lt;4,"3.5-3.9",IF(H1108&lt;4.5,"4.0-4.4","4.5+"))))</f>
        <v>4.0-4.4</v>
      </c>
    </row>
    <row r="1109" customFormat="false" ht="15" hidden="false" customHeight="false" outlineLevel="0" collapsed="false">
      <c r="A1109" s="10" t="s">
        <v>2252</v>
      </c>
      <c r="B1109" s="10" t="s">
        <v>2253</v>
      </c>
      <c r="C1109" s="10" t="s">
        <v>1181</v>
      </c>
      <c r="D1109" s="10" t="s">
        <v>1851</v>
      </c>
      <c r="E1109" s="11" t="n">
        <v>8995</v>
      </c>
      <c r="F1109" s="11" t="n">
        <v>6499</v>
      </c>
      <c r="G1109" s="12" t="n">
        <v>0.28</v>
      </c>
      <c r="H1109" s="13" t="n">
        <v>4.3</v>
      </c>
      <c r="I1109" s="11" t="n">
        <v>2810</v>
      </c>
      <c r="J1109" s="11" t="n">
        <f aca="false">E1109-F1109</f>
        <v>2496</v>
      </c>
      <c r="K1109" s="10" t="str">
        <f aca="false">IF(G1109&lt;0.2,"0-19%",IF(G1109&lt;0.4,"20-39%",IF(G1109&lt;0.6,"40-59%",IF(G1109&lt;0.8,"60-79%","80%+"))))</f>
        <v>20-39%</v>
      </c>
      <c r="L1109" s="10" t="str">
        <f aca="false">IF(H1109="","No rating",IF(H1109&lt;3.5,"Below 3.5",IF(H1109&lt;4,"3.5-3.9",IF(H1109&lt;4.5,"4.0-4.4","4.5+"))))</f>
        <v>4.0-4.4</v>
      </c>
    </row>
    <row r="1110" customFormat="false" ht="15" hidden="false" customHeight="false" outlineLevel="0" collapsed="false">
      <c r="A1110" s="10" t="s">
        <v>2254</v>
      </c>
      <c r="B1110" s="10" t="s">
        <v>2255</v>
      </c>
      <c r="C1110" s="10" t="s">
        <v>1181</v>
      </c>
      <c r="D1110" s="10" t="s">
        <v>1851</v>
      </c>
      <c r="E1110" s="11" t="n">
        <v>239</v>
      </c>
      <c r="F1110" s="11" t="n">
        <v>239</v>
      </c>
      <c r="G1110" s="12" t="n">
        <v>0</v>
      </c>
      <c r="H1110" s="13" t="n">
        <v>4.3</v>
      </c>
      <c r="I1110" s="11" t="n">
        <v>7</v>
      </c>
      <c r="J1110" s="11" t="n">
        <f aca="false">E1110-F1110</f>
        <v>0</v>
      </c>
      <c r="K1110" s="10" t="str">
        <f aca="false">IF(G1110&lt;0.2,"0-19%",IF(G1110&lt;0.4,"20-39%",IF(G1110&lt;0.6,"40-59%",IF(G1110&lt;0.8,"60-79%","80%+"))))</f>
        <v>0-19%</v>
      </c>
      <c r="L1110" s="10" t="str">
        <f aca="false">IF(H1110="","No rating",IF(H1110&lt;3.5,"Below 3.5",IF(H1110&lt;4,"3.5-3.9",IF(H1110&lt;4.5,"4.0-4.4","4.5+"))))</f>
        <v>4.0-4.4</v>
      </c>
    </row>
    <row r="1111" customFormat="false" ht="15" hidden="false" customHeight="false" outlineLevel="0" collapsed="false">
      <c r="A1111" s="10" t="s">
        <v>2256</v>
      </c>
      <c r="B1111" s="10" t="s">
        <v>2257</v>
      </c>
      <c r="C1111" s="10" t="s">
        <v>1181</v>
      </c>
      <c r="D1111" s="10" t="s">
        <v>1851</v>
      </c>
      <c r="E1111" s="11" t="n">
        <v>1599</v>
      </c>
      <c r="F1111" s="11" t="n">
        <v>699</v>
      </c>
      <c r="G1111" s="12" t="n">
        <v>0.56</v>
      </c>
      <c r="H1111" s="13" t="n">
        <v>4.7</v>
      </c>
      <c r="I1111" s="11" t="n">
        <v>1729</v>
      </c>
      <c r="J1111" s="11" t="n">
        <f aca="false">E1111-F1111</f>
        <v>900</v>
      </c>
      <c r="K1111" s="10" t="str">
        <f aca="false">IF(G1111&lt;0.2,"0-19%",IF(G1111&lt;0.4,"20-39%",IF(G1111&lt;0.6,"40-59%",IF(G1111&lt;0.8,"60-79%","80%+"))))</f>
        <v>40-59%</v>
      </c>
      <c r="L1111" s="10" t="str">
        <f aca="false">IF(H1111="","No rating",IF(H1111&lt;3.5,"Below 3.5",IF(H1111&lt;4,"3.5-3.9",IF(H1111&lt;4.5,"4.0-4.4","4.5+"))))</f>
        <v>4.5+</v>
      </c>
    </row>
    <row r="1112" customFormat="false" ht="15" hidden="false" customHeight="false" outlineLevel="0" collapsed="false">
      <c r="A1112" s="10" t="s">
        <v>2258</v>
      </c>
      <c r="B1112" s="10" t="s">
        <v>2259</v>
      </c>
      <c r="C1112" s="10" t="s">
        <v>1181</v>
      </c>
      <c r="D1112" s="10" t="s">
        <v>1851</v>
      </c>
      <c r="E1112" s="11" t="n">
        <v>4290</v>
      </c>
      <c r="F1112" s="11" t="n">
        <v>2599</v>
      </c>
      <c r="G1112" s="12" t="n">
        <v>0.39</v>
      </c>
      <c r="H1112" s="13" t="n">
        <v>4.4</v>
      </c>
      <c r="I1112" s="11" t="n">
        <v>2116</v>
      </c>
      <c r="J1112" s="11" t="n">
        <f aca="false">E1112-F1112</f>
        <v>1691</v>
      </c>
      <c r="K1112" s="10" t="str">
        <f aca="false">IF(G1112&lt;0.2,"0-19%",IF(G1112&lt;0.4,"20-39%",IF(G1112&lt;0.6,"40-59%",IF(G1112&lt;0.8,"60-79%","80%+"))))</f>
        <v>20-39%</v>
      </c>
      <c r="L1112" s="10" t="str">
        <f aca="false">IF(H1112="","No rating",IF(H1112&lt;3.5,"Below 3.5",IF(H1112&lt;4,"3.5-3.9",IF(H1112&lt;4.5,"4.0-4.4","4.5+"))))</f>
        <v>4.0-4.4</v>
      </c>
    </row>
    <row r="1113" customFormat="false" ht="15" hidden="false" customHeight="false" outlineLevel="0" collapsed="false">
      <c r="A1113" s="10" t="s">
        <v>2260</v>
      </c>
      <c r="B1113" s="10" t="s">
        <v>2261</v>
      </c>
      <c r="C1113" s="10" t="s">
        <v>1181</v>
      </c>
      <c r="D1113" s="10" t="s">
        <v>1851</v>
      </c>
      <c r="E1113" s="11" t="n">
        <v>2890</v>
      </c>
      <c r="F1113" s="11" t="n">
        <v>1547</v>
      </c>
      <c r="G1113" s="12" t="n">
        <v>0.46</v>
      </c>
      <c r="H1113" s="13" t="n">
        <v>3.9</v>
      </c>
      <c r="I1113" s="11" t="n">
        <v>463</v>
      </c>
      <c r="J1113" s="11" t="n">
        <f aca="false">E1113-F1113</f>
        <v>1343</v>
      </c>
      <c r="K1113" s="10" t="str">
        <f aca="false">IF(G1113&lt;0.2,"0-19%",IF(G1113&lt;0.4,"20-39%",IF(G1113&lt;0.6,"40-59%",IF(G1113&lt;0.8,"60-79%","80%+"))))</f>
        <v>40-59%</v>
      </c>
      <c r="L1113" s="10" t="str">
        <f aca="false">IF(H1113="","No rating",IF(H1113&lt;3.5,"Below 3.5",IF(H1113&lt;4,"3.5-3.9",IF(H1113&lt;4.5,"4.0-4.4","4.5+"))))</f>
        <v>3.5-3.9</v>
      </c>
    </row>
    <row r="1114" customFormat="false" ht="15" hidden="false" customHeight="false" outlineLevel="0" collapsed="false">
      <c r="A1114" s="10" t="s">
        <v>2262</v>
      </c>
      <c r="B1114" s="10" t="s">
        <v>2263</v>
      </c>
      <c r="C1114" s="10" t="s">
        <v>1181</v>
      </c>
      <c r="D1114" s="10" t="s">
        <v>1851</v>
      </c>
      <c r="E1114" s="11" t="n">
        <v>1299</v>
      </c>
      <c r="F1114" s="11" t="n">
        <v>499</v>
      </c>
      <c r="G1114" s="12" t="n">
        <v>0.62</v>
      </c>
      <c r="H1114" s="13" t="n">
        <v>4.7</v>
      </c>
      <c r="I1114" s="11" t="n">
        <v>54</v>
      </c>
      <c r="J1114" s="11" t="n">
        <f aca="false">E1114-F1114</f>
        <v>800</v>
      </c>
      <c r="K1114" s="10" t="str">
        <f aca="false">IF(G1114&lt;0.2,"0-19%",IF(G1114&lt;0.4,"20-39%",IF(G1114&lt;0.6,"40-59%",IF(G1114&lt;0.8,"60-79%","80%+"))))</f>
        <v>60-79%</v>
      </c>
      <c r="L1114" s="10" t="str">
        <f aca="false">IF(H1114="","No rating",IF(H1114&lt;3.5,"Below 3.5",IF(H1114&lt;4,"3.5-3.9",IF(H1114&lt;4.5,"4.0-4.4","4.5+"))))</f>
        <v>4.5+</v>
      </c>
    </row>
    <row r="1115" customFormat="false" ht="15" hidden="false" customHeight="false" outlineLevel="0" collapsed="false">
      <c r="A1115" s="10" t="s">
        <v>2264</v>
      </c>
      <c r="B1115" s="10" t="s">
        <v>2265</v>
      </c>
      <c r="C1115" s="10" t="s">
        <v>1181</v>
      </c>
      <c r="D1115" s="10" t="s">
        <v>1854</v>
      </c>
      <c r="E1115" s="11" t="n">
        <v>640</v>
      </c>
      <c r="F1115" s="11" t="n">
        <v>510</v>
      </c>
      <c r="G1115" s="12" t="n">
        <v>0.2</v>
      </c>
      <c r="H1115" s="13" t="n">
        <v>4.1</v>
      </c>
      <c r="I1115" s="11" t="n">
        <v>7229</v>
      </c>
      <c r="J1115" s="11" t="n">
        <f aca="false">E1115-F1115</f>
        <v>130</v>
      </c>
      <c r="K1115" s="10" t="str">
        <f aca="false">IF(G1115&lt;0.2,"0-19%",IF(G1115&lt;0.4,"20-39%",IF(G1115&lt;0.6,"40-59%",IF(G1115&lt;0.8,"60-79%","80%+"))))</f>
        <v>20-39%</v>
      </c>
      <c r="L1115" s="10" t="str">
        <f aca="false">IF(H1115="","No rating",IF(H1115&lt;3.5,"Below 3.5",IF(H1115&lt;4,"3.5-3.9",IF(H1115&lt;4.5,"4.0-4.4","4.5+"))))</f>
        <v>4.0-4.4</v>
      </c>
    </row>
    <row r="1116" customFormat="false" ht="15" hidden="false" customHeight="false" outlineLevel="0" collapsed="false">
      <c r="A1116" s="10" t="s">
        <v>2266</v>
      </c>
      <c r="B1116" s="10" t="s">
        <v>2267</v>
      </c>
      <c r="C1116" s="10" t="s">
        <v>1181</v>
      </c>
      <c r="D1116" s="10" t="s">
        <v>1854</v>
      </c>
      <c r="E1116" s="11" t="n">
        <v>3790</v>
      </c>
      <c r="F1116" s="11" t="n">
        <v>1899</v>
      </c>
      <c r="G1116" s="12" t="n">
        <v>0.5</v>
      </c>
      <c r="H1116" s="13" t="n">
        <v>3.8</v>
      </c>
      <c r="I1116" s="11" t="n">
        <v>3842</v>
      </c>
      <c r="J1116" s="11" t="n">
        <f aca="false">E1116-F1116</f>
        <v>1891</v>
      </c>
      <c r="K1116" s="10" t="str">
        <f aca="false">IF(G1116&lt;0.2,"0-19%",IF(G1116&lt;0.4,"20-39%",IF(G1116&lt;0.6,"40-59%",IF(G1116&lt;0.8,"60-79%","80%+"))))</f>
        <v>40-59%</v>
      </c>
      <c r="L1116" s="10" t="str">
        <f aca="false">IF(H1116="","No rating",IF(H1116&lt;3.5,"Below 3.5",IF(H1116&lt;4,"3.5-3.9",IF(H1116&lt;4.5,"4.0-4.4","4.5+"))))</f>
        <v>3.5-3.9</v>
      </c>
    </row>
    <row r="1117" customFormat="false" ht="15" hidden="false" customHeight="false" outlineLevel="0" collapsed="false">
      <c r="A1117" s="10" t="s">
        <v>2268</v>
      </c>
      <c r="B1117" s="10" t="s">
        <v>2269</v>
      </c>
      <c r="C1117" s="10" t="s">
        <v>1181</v>
      </c>
      <c r="D1117" s="10" t="s">
        <v>1854</v>
      </c>
      <c r="E1117" s="11" t="n">
        <v>4560</v>
      </c>
      <c r="F1117" s="11" t="n">
        <v>2599</v>
      </c>
      <c r="G1117" s="12" t="n">
        <v>0.43</v>
      </c>
      <c r="H1117" s="13" t="n">
        <v>4.4</v>
      </c>
      <c r="I1117" s="11" t="n">
        <v>646</v>
      </c>
      <c r="J1117" s="11" t="n">
        <f aca="false">E1117-F1117</f>
        <v>1961</v>
      </c>
      <c r="K1117" s="10" t="str">
        <f aca="false">IF(G1117&lt;0.2,"0-19%",IF(G1117&lt;0.4,"20-39%",IF(G1117&lt;0.6,"40-59%",IF(G1117&lt;0.8,"60-79%","80%+"))))</f>
        <v>40-59%</v>
      </c>
      <c r="L1117" s="10" t="str">
        <f aca="false">IF(H1117="","No rating",IF(H1117&lt;3.5,"Below 3.5",IF(H1117&lt;4,"3.5-3.9",IF(H1117&lt;4.5,"4.0-4.4","4.5+"))))</f>
        <v>4.0-4.4</v>
      </c>
    </row>
    <row r="1118" customFormat="false" ht="15" hidden="false" customHeight="false" outlineLevel="0" collapsed="false">
      <c r="A1118" s="10" t="s">
        <v>2270</v>
      </c>
      <c r="B1118" s="10" t="s">
        <v>2271</v>
      </c>
      <c r="C1118" s="10" t="s">
        <v>1181</v>
      </c>
      <c r="D1118" s="10" t="s">
        <v>1851</v>
      </c>
      <c r="E1118" s="11" t="n">
        <v>3500</v>
      </c>
      <c r="F1118" s="11" t="n">
        <v>1199</v>
      </c>
      <c r="G1118" s="12" t="n">
        <v>0.66</v>
      </c>
      <c r="H1118" s="13" t="n">
        <v>4.3</v>
      </c>
      <c r="I1118" s="11" t="n">
        <v>1802</v>
      </c>
      <c r="J1118" s="11" t="n">
        <f aca="false">E1118-F1118</f>
        <v>2301</v>
      </c>
      <c r="K1118" s="10" t="str">
        <f aca="false">IF(G1118&lt;0.2,"0-19%",IF(G1118&lt;0.4,"20-39%",IF(G1118&lt;0.6,"40-59%",IF(G1118&lt;0.8,"60-79%","80%+"))))</f>
        <v>60-79%</v>
      </c>
      <c r="L1118" s="10" t="str">
        <f aca="false">IF(H1118="","No rating",IF(H1118&lt;3.5,"Below 3.5",IF(H1118&lt;4,"3.5-3.9",IF(H1118&lt;4.5,"4.0-4.4","4.5+"))))</f>
        <v>4.0-4.4</v>
      </c>
    </row>
    <row r="1119" customFormat="false" ht="15" hidden="false" customHeight="false" outlineLevel="0" collapsed="false">
      <c r="A1119" s="10" t="s">
        <v>2272</v>
      </c>
      <c r="B1119" s="10" t="s">
        <v>2273</v>
      </c>
      <c r="C1119" s="10" t="s">
        <v>1181</v>
      </c>
      <c r="D1119" s="10" t="s">
        <v>1854</v>
      </c>
      <c r="E1119" s="11" t="n">
        <v>2600</v>
      </c>
      <c r="F1119" s="11" t="n">
        <v>999</v>
      </c>
      <c r="G1119" s="12" t="n">
        <v>0.62</v>
      </c>
      <c r="H1119" s="13" t="n">
        <v>3.4</v>
      </c>
      <c r="I1119" s="11" t="n">
        <v>252</v>
      </c>
      <c r="J1119" s="11" t="n">
        <f aca="false">E1119-F1119</f>
        <v>1601</v>
      </c>
      <c r="K1119" s="10" t="str">
        <f aca="false">IF(G1119&lt;0.2,"0-19%",IF(G1119&lt;0.4,"20-39%",IF(G1119&lt;0.6,"40-59%",IF(G1119&lt;0.8,"60-79%","80%+"))))</f>
        <v>60-79%</v>
      </c>
      <c r="L1119" s="10" t="str">
        <f aca="false">IF(H1119="","No rating",IF(H1119&lt;3.5,"Below 3.5",IF(H1119&lt;4,"3.5-3.9",IF(H1119&lt;4.5,"4.0-4.4","4.5+"))))</f>
        <v>Below 3.5</v>
      </c>
    </row>
    <row r="1120" customFormat="false" ht="15" hidden="false" customHeight="false" outlineLevel="0" collapsed="false">
      <c r="A1120" s="10" t="s">
        <v>2274</v>
      </c>
      <c r="B1120" s="10" t="s">
        <v>2275</v>
      </c>
      <c r="C1120" s="10" t="s">
        <v>1181</v>
      </c>
      <c r="D1120" s="10" t="s">
        <v>1851</v>
      </c>
      <c r="E1120" s="11" t="n">
        <v>3300</v>
      </c>
      <c r="F1120" s="11" t="n">
        <v>1999</v>
      </c>
      <c r="G1120" s="12" t="n">
        <v>0.39</v>
      </c>
      <c r="H1120" s="13" t="n">
        <v>4.2</v>
      </c>
      <c r="I1120" s="11" t="n">
        <v>780</v>
      </c>
      <c r="J1120" s="11" t="n">
        <f aca="false">E1120-F1120</f>
        <v>1301</v>
      </c>
      <c r="K1120" s="10" t="str">
        <f aca="false">IF(G1120&lt;0.2,"0-19%",IF(G1120&lt;0.4,"20-39%",IF(G1120&lt;0.6,"40-59%",IF(G1120&lt;0.8,"60-79%","80%+"))))</f>
        <v>20-39%</v>
      </c>
      <c r="L1120" s="10" t="str">
        <f aca="false">IF(H1120="","No rating",IF(H1120&lt;3.5,"Below 3.5",IF(H1120&lt;4,"3.5-3.9",IF(H1120&lt;4.5,"4.0-4.4","4.5+"))))</f>
        <v>4.0-4.4</v>
      </c>
    </row>
    <row r="1121" customFormat="false" ht="15" hidden="false" customHeight="false" outlineLevel="0" collapsed="false">
      <c r="A1121" s="10" t="s">
        <v>2276</v>
      </c>
      <c r="B1121" s="10" t="s">
        <v>2277</v>
      </c>
      <c r="C1121" s="10" t="s">
        <v>1181</v>
      </c>
      <c r="D1121" s="10" t="s">
        <v>1851</v>
      </c>
      <c r="E1121" s="11" t="n">
        <v>699</v>
      </c>
      <c r="F1121" s="11" t="n">
        <v>210</v>
      </c>
      <c r="G1121" s="12" t="n">
        <v>0.7</v>
      </c>
      <c r="H1121" s="13" t="n">
        <v>3.7</v>
      </c>
      <c r="I1121" s="11" t="n">
        <v>74</v>
      </c>
      <c r="J1121" s="11" t="n">
        <f aca="false">E1121-F1121</f>
        <v>489</v>
      </c>
      <c r="K1121" s="10" t="str">
        <f aca="false">IF(G1121&lt;0.2,"0-19%",IF(G1121&lt;0.4,"20-39%",IF(G1121&lt;0.6,"40-59%",IF(G1121&lt;0.8,"60-79%","80%+"))))</f>
        <v>60-79%</v>
      </c>
      <c r="L1121" s="10" t="str">
        <f aca="false">IF(H1121="","No rating",IF(H1121&lt;3.5,"Below 3.5",IF(H1121&lt;4,"3.5-3.9",IF(H1121&lt;4.5,"4.0-4.4","4.5+"))))</f>
        <v>3.5-3.9</v>
      </c>
    </row>
    <row r="1122" customFormat="false" ht="15" hidden="false" customHeight="false" outlineLevel="0" collapsed="false">
      <c r="A1122" s="10" t="s">
        <v>2278</v>
      </c>
      <c r="B1122" s="10" t="s">
        <v>2279</v>
      </c>
      <c r="C1122" s="10" t="s">
        <v>1181</v>
      </c>
      <c r="D1122" s="10" t="s">
        <v>1854</v>
      </c>
      <c r="E1122" s="11" t="n">
        <v>23559</v>
      </c>
      <c r="F1122" s="11" t="n">
        <v>14499</v>
      </c>
      <c r="G1122" s="12" t="n">
        <v>0.38</v>
      </c>
      <c r="H1122" s="13" t="n">
        <v>4.3</v>
      </c>
      <c r="I1122" s="11" t="n">
        <v>2026</v>
      </c>
      <c r="J1122" s="11" t="n">
        <f aca="false">E1122-F1122</f>
        <v>9060</v>
      </c>
      <c r="K1122" s="10" t="str">
        <f aca="false">IF(G1122&lt;0.2,"0-19%",IF(G1122&lt;0.4,"20-39%",IF(G1122&lt;0.6,"40-59%",IF(G1122&lt;0.8,"60-79%","80%+"))))</f>
        <v>20-39%</v>
      </c>
      <c r="L1122" s="10" t="str">
        <f aca="false">IF(H1122="","No rating",IF(H1122&lt;3.5,"Below 3.5",IF(H1122&lt;4,"3.5-3.9",IF(H1122&lt;4.5,"4.0-4.4","4.5+"))))</f>
        <v>4.0-4.4</v>
      </c>
    </row>
    <row r="1123" customFormat="false" ht="15" hidden="false" customHeight="false" outlineLevel="0" collapsed="false">
      <c r="A1123" s="10" t="s">
        <v>2280</v>
      </c>
      <c r="B1123" s="10" t="s">
        <v>2281</v>
      </c>
      <c r="C1123" s="10" t="s">
        <v>1181</v>
      </c>
      <c r="D1123" s="10" t="s">
        <v>1920</v>
      </c>
      <c r="E1123" s="11" t="n">
        <v>1599</v>
      </c>
      <c r="F1123" s="11" t="n">
        <v>950</v>
      </c>
      <c r="G1123" s="12" t="n">
        <v>0.41</v>
      </c>
      <c r="H1123" s="13" t="n">
        <v>4.3</v>
      </c>
      <c r="I1123" s="11" t="n">
        <v>5911</v>
      </c>
      <c r="J1123" s="11" t="n">
        <f aca="false">E1123-F1123</f>
        <v>649</v>
      </c>
      <c r="K1123" s="10" t="str">
        <f aca="false">IF(G1123&lt;0.2,"0-19%",IF(G1123&lt;0.4,"20-39%",IF(G1123&lt;0.6,"40-59%",IF(G1123&lt;0.8,"60-79%","80%+"))))</f>
        <v>40-59%</v>
      </c>
      <c r="L1123" s="10" t="str">
        <f aca="false">IF(H1123="","No rating",IF(H1123&lt;3.5,"Below 3.5",IF(H1123&lt;4,"3.5-3.9",IF(H1123&lt;4.5,"4.0-4.4","4.5+"))))</f>
        <v>4.0-4.4</v>
      </c>
    </row>
    <row r="1124" customFormat="false" ht="15" hidden="false" customHeight="false" outlineLevel="0" collapsed="false">
      <c r="A1124" s="10" t="s">
        <v>2282</v>
      </c>
      <c r="B1124" s="10" t="s">
        <v>2283</v>
      </c>
      <c r="C1124" s="10" t="s">
        <v>1181</v>
      </c>
      <c r="D1124" s="10" t="s">
        <v>1851</v>
      </c>
      <c r="E1124" s="11" t="n">
        <v>9995</v>
      </c>
      <c r="F1124" s="11" t="n">
        <v>7199</v>
      </c>
      <c r="G1124" s="12" t="n">
        <v>0.28</v>
      </c>
      <c r="H1124" s="13" t="n">
        <v>4.4</v>
      </c>
      <c r="I1124" s="11" t="n">
        <v>1964</v>
      </c>
      <c r="J1124" s="11" t="n">
        <f aca="false">E1124-F1124</f>
        <v>2796</v>
      </c>
      <c r="K1124" s="10" t="str">
        <f aca="false">IF(G1124&lt;0.2,"0-19%",IF(G1124&lt;0.4,"20-39%",IF(G1124&lt;0.6,"40-59%",IF(G1124&lt;0.8,"60-79%","80%+"))))</f>
        <v>20-39%</v>
      </c>
      <c r="L1124" s="10" t="str">
        <f aca="false">IF(H1124="","No rating",IF(H1124&lt;3.5,"Below 3.5",IF(H1124&lt;4,"3.5-3.9",IF(H1124&lt;4.5,"4.0-4.4","4.5+"))))</f>
        <v>4.0-4.4</v>
      </c>
    </row>
    <row r="1125" customFormat="false" ht="15" hidden="false" customHeight="false" outlineLevel="0" collapsed="false">
      <c r="A1125" s="10" t="s">
        <v>2284</v>
      </c>
      <c r="B1125" s="10" t="s">
        <v>2285</v>
      </c>
      <c r="C1125" s="10" t="s">
        <v>1181</v>
      </c>
      <c r="D1125" s="10" t="s">
        <v>1854</v>
      </c>
      <c r="E1125" s="11" t="n">
        <v>2545</v>
      </c>
      <c r="F1125" s="11" t="n">
        <v>2439</v>
      </c>
      <c r="G1125" s="12" t="n">
        <v>0.04</v>
      </c>
      <c r="H1125" s="13" t="n">
        <v>4.1</v>
      </c>
      <c r="I1125" s="11" t="n">
        <v>25</v>
      </c>
      <c r="J1125" s="11" t="n">
        <f aca="false">E1125-F1125</f>
        <v>106</v>
      </c>
      <c r="K1125" s="10" t="str">
        <f aca="false">IF(G1125&lt;0.2,"0-19%",IF(G1125&lt;0.4,"20-39%",IF(G1125&lt;0.6,"40-59%",IF(G1125&lt;0.8,"60-79%","80%+"))))</f>
        <v>0-19%</v>
      </c>
      <c r="L1125" s="10" t="str">
        <f aca="false">IF(H1125="","No rating",IF(H1125&lt;3.5,"Below 3.5",IF(H1125&lt;4,"3.5-3.9",IF(H1125&lt;4.5,"4.0-4.4","4.5+"))))</f>
        <v>4.0-4.4</v>
      </c>
    </row>
    <row r="1126" customFormat="false" ht="15" hidden="false" customHeight="false" outlineLevel="0" collapsed="false">
      <c r="A1126" s="10" t="s">
        <v>2286</v>
      </c>
      <c r="B1126" s="10" t="s">
        <v>2287</v>
      </c>
      <c r="C1126" s="10" t="s">
        <v>1181</v>
      </c>
      <c r="D1126" s="10" t="s">
        <v>1851</v>
      </c>
      <c r="E1126" s="11" t="n">
        <v>8995</v>
      </c>
      <c r="F1126" s="11" t="n">
        <v>7799</v>
      </c>
      <c r="G1126" s="12" t="n">
        <v>0.13</v>
      </c>
      <c r="H1126" s="13" t="n">
        <v>4</v>
      </c>
      <c r="I1126" s="11" t="n">
        <v>3160</v>
      </c>
      <c r="J1126" s="11" t="n">
        <f aca="false">E1126-F1126</f>
        <v>1196</v>
      </c>
      <c r="K1126" s="10" t="str">
        <f aca="false">IF(G1126&lt;0.2,"0-19%",IF(G1126&lt;0.4,"20-39%",IF(G1126&lt;0.6,"40-59%",IF(G1126&lt;0.8,"60-79%","80%+"))))</f>
        <v>0-19%</v>
      </c>
      <c r="L1126" s="10" t="str">
        <f aca="false">IF(H1126="","No rating",IF(H1126&lt;3.5,"Below 3.5",IF(H1126&lt;4,"3.5-3.9",IF(H1126&lt;4.5,"4.0-4.4","4.5+"))))</f>
        <v>4.0-4.4</v>
      </c>
    </row>
    <row r="1127" customFormat="false" ht="15" hidden="false" customHeight="false" outlineLevel="0" collapsed="false">
      <c r="A1127" s="10" t="s">
        <v>2288</v>
      </c>
      <c r="B1127" s="10" t="s">
        <v>2289</v>
      </c>
      <c r="C1127" s="10" t="s">
        <v>1181</v>
      </c>
      <c r="D1127" s="10" t="s">
        <v>1851</v>
      </c>
      <c r="E1127" s="11" t="n">
        <v>1999</v>
      </c>
      <c r="F1127" s="11" t="n">
        <v>1599</v>
      </c>
      <c r="G1127" s="12" t="n">
        <v>0.2</v>
      </c>
      <c r="H1127" s="13" t="n">
        <v>4.4</v>
      </c>
      <c r="I1127" s="11" t="n">
        <v>1558</v>
      </c>
      <c r="J1127" s="11" t="n">
        <f aca="false">E1127-F1127</f>
        <v>400</v>
      </c>
      <c r="K1127" s="10" t="str">
        <f aca="false">IF(G1127&lt;0.2,"0-19%",IF(G1127&lt;0.4,"20-39%",IF(G1127&lt;0.6,"40-59%",IF(G1127&lt;0.8,"60-79%","80%+"))))</f>
        <v>20-39%</v>
      </c>
      <c r="L1127" s="10" t="str">
        <f aca="false">IF(H1127="","No rating",IF(H1127&lt;3.5,"Below 3.5",IF(H1127&lt;4,"3.5-3.9",IF(H1127&lt;4.5,"4.0-4.4","4.5+"))))</f>
        <v>4.0-4.4</v>
      </c>
    </row>
    <row r="1128" customFormat="false" ht="15" hidden="false" customHeight="false" outlineLevel="0" collapsed="false">
      <c r="A1128" s="10" t="s">
        <v>2290</v>
      </c>
      <c r="B1128" s="10" t="s">
        <v>2291</v>
      </c>
      <c r="C1128" s="10" t="s">
        <v>1181</v>
      </c>
      <c r="D1128" s="10" t="s">
        <v>1851</v>
      </c>
      <c r="E1128" s="11" t="n">
        <v>5500</v>
      </c>
      <c r="F1128" s="11" t="n">
        <v>2899</v>
      </c>
      <c r="G1128" s="12" t="n">
        <v>0.47</v>
      </c>
      <c r="H1128" s="13" t="n">
        <v>3.8</v>
      </c>
      <c r="I1128" s="11" t="n">
        <v>8958</v>
      </c>
      <c r="J1128" s="11" t="n">
        <f aca="false">E1128-F1128</f>
        <v>2601</v>
      </c>
      <c r="K1128" s="10" t="str">
        <f aca="false">IF(G1128&lt;0.2,"0-19%",IF(G1128&lt;0.4,"20-39%",IF(G1128&lt;0.6,"40-59%",IF(G1128&lt;0.8,"60-79%","80%+"))))</f>
        <v>40-59%</v>
      </c>
      <c r="L1128" s="10" t="str">
        <f aca="false">IF(H1128="","No rating",IF(H1128&lt;3.5,"Below 3.5",IF(H1128&lt;4,"3.5-3.9",IF(H1128&lt;4.5,"4.0-4.4","4.5+"))))</f>
        <v>3.5-3.9</v>
      </c>
    </row>
    <row r="1129" customFormat="false" ht="15" hidden="false" customHeight="false" outlineLevel="0" collapsed="false">
      <c r="A1129" s="10" t="s">
        <v>2292</v>
      </c>
      <c r="B1129" s="10" t="s">
        <v>2293</v>
      </c>
      <c r="C1129" s="10" t="s">
        <v>1181</v>
      </c>
      <c r="D1129" s="10" t="s">
        <v>1851</v>
      </c>
      <c r="E1129" s="11" t="n">
        <v>12150</v>
      </c>
      <c r="F1129" s="11" t="n">
        <v>9799</v>
      </c>
      <c r="G1129" s="12" t="n">
        <v>0.19</v>
      </c>
      <c r="H1129" s="13" t="n">
        <v>4.3</v>
      </c>
      <c r="I1129" s="11" t="n">
        <v>13251</v>
      </c>
      <c r="J1129" s="11" t="n">
        <f aca="false">E1129-F1129</f>
        <v>2351</v>
      </c>
      <c r="K1129" s="10" t="str">
        <f aca="false">IF(G1129&lt;0.2,"0-19%",IF(G1129&lt;0.4,"20-39%",IF(G1129&lt;0.6,"40-59%",IF(G1129&lt;0.8,"60-79%","80%+"))))</f>
        <v>0-19%</v>
      </c>
      <c r="L1129" s="10" t="str">
        <f aca="false">IF(H1129="","No rating",IF(H1129&lt;3.5,"Below 3.5",IF(H1129&lt;4,"3.5-3.9",IF(H1129&lt;4.5,"4.0-4.4","4.5+"))))</f>
        <v>4.0-4.4</v>
      </c>
    </row>
    <row r="1130" customFormat="false" ht="15" hidden="false" customHeight="false" outlineLevel="0" collapsed="false">
      <c r="A1130" s="10" t="s">
        <v>2294</v>
      </c>
      <c r="B1130" s="10" t="s">
        <v>2295</v>
      </c>
      <c r="C1130" s="10" t="s">
        <v>1181</v>
      </c>
      <c r="D1130" s="10" t="s">
        <v>1851</v>
      </c>
      <c r="E1130" s="11" t="n">
        <v>4995</v>
      </c>
      <c r="F1130" s="11" t="n">
        <v>3299</v>
      </c>
      <c r="G1130" s="12" t="n">
        <v>0.34</v>
      </c>
      <c r="H1130" s="13" t="n">
        <v>3.8</v>
      </c>
      <c r="I1130" s="11" t="n">
        <v>1393</v>
      </c>
      <c r="J1130" s="11" t="n">
        <f aca="false">E1130-F1130</f>
        <v>1696</v>
      </c>
      <c r="K1130" s="10" t="str">
        <f aca="false">IF(G1130&lt;0.2,"0-19%",IF(G1130&lt;0.4,"20-39%",IF(G1130&lt;0.6,"40-59%",IF(G1130&lt;0.8,"60-79%","80%+"))))</f>
        <v>20-39%</v>
      </c>
      <c r="L1130" s="10" t="str">
        <f aca="false">IF(H1130="","No rating",IF(H1130&lt;3.5,"Below 3.5",IF(H1130&lt;4,"3.5-3.9",IF(H1130&lt;4.5,"4.0-4.4","4.5+"))))</f>
        <v>3.5-3.9</v>
      </c>
    </row>
    <row r="1131" customFormat="false" ht="15" hidden="false" customHeight="false" outlineLevel="0" collapsed="false">
      <c r="A1131" s="10" t="s">
        <v>2296</v>
      </c>
      <c r="B1131" s="10" t="s">
        <v>2297</v>
      </c>
      <c r="C1131" s="10" t="s">
        <v>1181</v>
      </c>
      <c r="D1131" s="10" t="s">
        <v>1851</v>
      </c>
      <c r="E1131" s="11" t="n">
        <v>1499</v>
      </c>
      <c r="F1131" s="11" t="n">
        <v>669</v>
      </c>
      <c r="G1131" s="12" t="n">
        <v>0.55</v>
      </c>
      <c r="H1131" s="13" t="n">
        <v>2.3</v>
      </c>
      <c r="I1131" s="11" t="n">
        <v>13</v>
      </c>
      <c r="J1131" s="11" t="n">
        <f aca="false">E1131-F1131</f>
        <v>830</v>
      </c>
      <c r="K1131" s="10" t="str">
        <f aca="false">IF(G1131&lt;0.2,"0-19%",IF(G1131&lt;0.4,"20-39%",IF(G1131&lt;0.6,"40-59%",IF(G1131&lt;0.8,"60-79%","80%+"))))</f>
        <v>40-59%</v>
      </c>
      <c r="L1131" s="10" t="str">
        <f aca="false">IF(H1131="","No rating",IF(H1131&lt;3.5,"Below 3.5",IF(H1131&lt;4,"3.5-3.9",IF(H1131&lt;4.5,"4.0-4.4","4.5+"))))</f>
        <v>Below 3.5</v>
      </c>
    </row>
    <row r="1132" customFormat="false" ht="15" hidden="false" customHeight="false" outlineLevel="0" collapsed="false">
      <c r="A1132" s="10" t="s">
        <v>2298</v>
      </c>
      <c r="B1132" s="10" t="s">
        <v>2299</v>
      </c>
      <c r="C1132" s="10" t="s">
        <v>1181</v>
      </c>
      <c r="D1132" s="10" t="s">
        <v>1851</v>
      </c>
      <c r="E1132" s="11" t="n">
        <v>7506</v>
      </c>
      <c r="F1132" s="11" t="n">
        <v>5890</v>
      </c>
      <c r="G1132" s="12" t="n">
        <v>0.22</v>
      </c>
      <c r="H1132" s="13" t="n">
        <v>4.5</v>
      </c>
      <c r="I1132" s="11" t="n">
        <v>7241</v>
      </c>
      <c r="J1132" s="11" t="n">
        <f aca="false">E1132-F1132</f>
        <v>1616</v>
      </c>
      <c r="K1132" s="10" t="str">
        <f aca="false">IF(G1132&lt;0.2,"0-19%",IF(G1132&lt;0.4,"20-39%",IF(G1132&lt;0.6,"40-59%",IF(G1132&lt;0.8,"60-79%","80%+"))))</f>
        <v>20-39%</v>
      </c>
      <c r="L1132" s="10" t="str">
        <f aca="false">IF(H1132="","No rating",IF(H1132&lt;3.5,"Below 3.5",IF(H1132&lt;4,"3.5-3.9",IF(H1132&lt;4.5,"4.0-4.4","4.5+"))))</f>
        <v>4.5+</v>
      </c>
    </row>
    <row r="1133" customFormat="false" ht="15" hidden="false" customHeight="false" outlineLevel="0" collapsed="false">
      <c r="A1133" s="10" t="s">
        <v>2300</v>
      </c>
      <c r="B1133" s="10" t="s">
        <v>2301</v>
      </c>
      <c r="C1133" s="10" t="s">
        <v>1181</v>
      </c>
      <c r="D1133" s="10" t="s">
        <v>1851</v>
      </c>
      <c r="E1133" s="11" t="n">
        <v>18000</v>
      </c>
      <c r="F1133" s="11" t="n">
        <v>9199</v>
      </c>
      <c r="G1133" s="12" t="n">
        <v>0.49</v>
      </c>
      <c r="H1133" s="13" t="n">
        <v>4</v>
      </c>
      <c r="I1133" s="11" t="n">
        <v>16020</v>
      </c>
      <c r="J1133" s="11" t="n">
        <f aca="false">E1133-F1133</f>
        <v>8801</v>
      </c>
      <c r="K1133" s="10" t="str">
        <f aca="false">IF(G1133&lt;0.2,"0-19%",IF(G1133&lt;0.4,"20-39%",IF(G1133&lt;0.6,"40-59%",IF(G1133&lt;0.8,"60-79%","80%+"))))</f>
        <v>40-59%</v>
      </c>
      <c r="L1133" s="10" t="str">
        <f aca="false">IF(H1133="","No rating",IF(H1133&lt;3.5,"Below 3.5",IF(H1133&lt;4,"3.5-3.9",IF(H1133&lt;4.5,"4.0-4.4","4.5+"))))</f>
        <v>4.0-4.4</v>
      </c>
    </row>
    <row r="1134" customFormat="false" ht="15" hidden="false" customHeight="false" outlineLevel="0" collapsed="false">
      <c r="A1134" s="10" t="s">
        <v>2302</v>
      </c>
      <c r="B1134" s="10" t="s">
        <v>2303</v>
      </c>
      <c r="C1134" s="10" t="s">
        <v>1181</v>
      </c>
      <c r="D1134" s="10" t="s">
        <v>1920</v>
      </c>
      <c r="E1134" s="11" t="n">
        <v>1099</v>
      </c>
      <c r="F1134" s="11" t="n">
        <v>351</v>
      </c>
      <c r="G1134" s="12" t="n">
        <v>0.68</v>
      </c>
      <c r="H1134" s="13" t="n">
        <v>3.7</v>
      </c>
      <c r="I1134" s="11" t="n">
        <v>1470</v>
      </c>
      <c r="J1134" s="11" t="n">
        <f aca="false">E1134-F1134</f>
        <v>748</v>
      </c>
      <c r="K1134" s="10" t="str">
        <f aca="false">IF(G1134&lt;0.2,"0-19%",IF(G1134&lt;0.4,"20-39%",IF(G1134&lt;0.6,"40-59%",IF(G1134&lt;0.8,"60-79%","80%+"))))</f>
        <v>60-79%</v>
      </c>
      <c r="L1134" s="10" t="str">
        <f aca="false">IF(H1134="","No rating",IF(H1134&lt;3.5,"Below 3.5",IF(H1134&lt;4,"3.5-3.9",IF(H1134&lt;4.5,"4.0-4.4","4.5+"))))</f>
        <v>3.5-3.9</v>
      </c>
    </row>
    <row r="1135" customFormat="false" ht="15" hidden="false" customHeight="false" outlineLevel="0" collapsed="false">
      <c r="A1135" s="10" t="s">
        <v>2304</v>
      </c>
      <c r="B1135" s="10" t="s">
        <v>2305</v>
      </c>
      <c r="C1135" s="10" t="s">
        <v>1170</v>
      </c>
      <c r="D1135" s="10" t="s">
        <v>2306</v>
      </c>
      <c r="E1135" s="11" t="n">
        <v>1900</v>
      </c>
      <c r="F1135" s="11" t="n">
        <v>899</v>
      </c>
      <c r="G1135" s="12" t="n">
        <v>0.53</v>
      </c>
      <c r="H1135" s="13" t="n">
        <v>4</v>
      </c>
      <c r="I1135" s="11" t="n">
        <v>3663</v>
      </c>
      <c r="J1135" s="11" t="n">
        <f aca="false">E1135-F1135</f>
        <v>1001</v>
      </c>
      <c r="K1135" s="10" t="str">
        <f aca="false">IF(G1135&lt;0.2,"0-19%",IF(G1135&lt;0.4,"20-39%",IF(G1135&lt;0.6,"40-59%",IF(G1135&lt;0.8,"60-79%","80%+"))))</f>
        <v>40-59%</v>
      </c>
      <c r="L1135" s="10" t="str">
        <f aca="false">IF(H1135="","No rating",IF(H1135&lt;3.5,"Below 3.5",IF(H1135&lt;4,"3.5-3.9",IF(H1135&lt;4.5,"4.0-4.4","4.5+"))))</f>
        <v>4.0-4.4</v>
      </c>
    </row>
    <row r="1136" customFormat="false" ht="15" hidden="false" customHeight="false" outlineLevel="0" collapsed="false">
      <c r="A1136" s="10" t="s">
        <v>2307</v>
      </c>
      <c r="B1136" s="10" t="s">
        <v>2308</v>
      </c>
      <c r="C1136" s="10" t="s">
        <v>1181</v>
      </c>
      <c r="D1136" s="10" t="s">
        <v>1851</v>
      </c>
      <c r="E1136" s="11" t="n">
        <v>1850</v>
      </c>
      <c r="F1136" s="11" t="n">
        <v>1349</v>
      </c>
      <c r="G1136" s="12" t="n">
        <v>0.27</v>
      </c>
      <c r="H1136" s="13" t="n">
        <v>4.4</v>
      </c>
      <c r="I1136" s="11" t="n">
        <v>638</v>
      </c>
      <c r="J1136" s="11" t="n">
        <f aca="false">E1136-F1136</f>
        <v>501</v>
      </c>
      <c r="K1136" s="10" t="str">
        <f aca="false">IF(G1136&lt;0.2,"0-19%",IF(G1136&lt;0.4,"20-39%",IF(G1136&lt;0.6,"40-59%",IF(G1136&lt;0.8,"60-79%","80%+"))))</f>
        <v>20-39%</v>
      </c>
      <c r="L1136" s="10" t="str">
        <f aca="false">IF(H1136="","No rating",IF(H1136&lt;3.5,"Below 3.5",IF(H1136&lt;4,"3.5-3.9",IF(H1136&lt;4.5,"4.0-4.4","4.5+"))))</f>
        <v>4.0-4.4</v>
      </c>
    </row>
    <row r="1137" customFormat="false" ht="15" hidden="false" customHeight="false" outlineLevel="0" collapsed="false">
      <c r="A1137" s="10" t="s">
        <v>2309</v>
      </c>
      <c r="B1137" s="10" t="s">
        <v>2310</v>
      </c>
      <c r="C1137" s="10" t="s">
        <v>1181</v>
      </c>
      <c r="D1137" s="10" t="s">
        <v>1851</v>
      </c>
      <c r="E1137" s="11" t="n">
        <v>9999</v>
      </c>
      <c r="F1137" s="11" t="n">
        <v>6236</v>
      </c>
      <c r="G1137" s="12" t="n">
        <v>0.38</v>
      </c>
      <c r="H1137" s="13" t="n">
        <v>4.1</v>
      </c>
      <c r="I1137" s="11" t="n">
        <v>3552</v>
      </c>
      <c r="J1137" s="11" t="n">
        <f aca="false">E1137-F1137</f>
        <v>3763</v>
      </c>
      <c r="K1137" s="10" t="str">
        <f aca="false">IF(G1137&lt;0.2,"0-19%",IF(G1137&lt;0.4,"20-39%",IF(G1137&lt;0.6,"40-59%",IF(G1137&lt;0.8,"60-79%","80%+"))))</f>
        <v>20-39%</v>
      </c>
      <c r="L1137" s="10" t="str">
        <f aca="false">IF(H1137="","No rating",IF(H1137&lt;3.5,"Below 3.5",IF(H1137&lt;4,"3.5-3.9",IF(H1137&lt;4.5,"4.0-4.4","4.5+"))))</f>
        <v>4.0-4.4</v>
      </c>
    </row>
    <row r="1138" customFormat="false" ht="15" hidden="false" customHeight="false" outlineLevel="0" collapsed="false">
      <c r="A1138" s="10" t="s">
        <v>2311</v>
      </c>
      <c r="B1138" s="10" t="s">
        <v>2312</v>
      </c>
      <c r="C1138" s="10" t="s">
        <v>1181</v>
      </c>
      <c r="D1138" s="10" t="s">
        <v>1851</v>
      </c>
      <c r="E1138" s="11" t="n">
        <v>3995</v>
      </c>
      <c r="F1138" s="11" t="n">
        <v>2742</v>
      </c>
      <c r="G1138" s="12" t="n">
        <v>0.31</v>
      </c>
      <c r="H1138" s="13" t="n">
        <v>4.4</v>
      </c>
      <c r="I1138" s="11" t="n">
        <v>11148</v>
      </c>
      <c r="J1138" s="11" t="n">
        <f aca="false">E1138-F1138</f>
        <v>1253</v>
      </c>
      <c r="K1138" s="10" t="str">
        <f aca="false">IF(G1138&lt;0.2,"0-19%",IF(G1138&lt;0.4,"20-39%",IF(G1138&lt;0.6,"40-59%",IF(G1138&lt;0.8,"60-79%","80%+"))))</f>
        <v>20-39%</v>
      </c>
      <c r="L1138" s="10" t="str">
        <f aca="false">IF(H1138="","No rating",IF(H1138&lt;3.5,"Below 3.5",IF(H1138&lt;4,"3.5-3.9",IF(H1138&lt;4.5,"4.0-4.4","4.5+"))))</f>
        <v>4.0-4.4</v>
      </c>
    </row>
    <row r="1139" customFormat="false" ht="15" hidden="false" customHeight="false" outlineLevel="0" collapsed="false">
      <c r="A1139" s="10" t="s">
        <v>2313</v>
      </c>
      <c r="B1139" s="10" t="s">
        <v>2314</v>
      </c>
      <c r="C1139" s="10" t="s">
        <v>1181</v>
      </c>
      <c r="D1139" s="10" t="s">
        <v>1851</v>
      </c>
      <c r="E1139" s="11" t="n">
        <v>1499</v>
      </c>
      <c r="F1139" s="11" t="n">
        <v>721</v>
      </c>
      <c r="G1139" s="12" t="n">
        <v>0.52</v>
      </c>
      <c r="H1139" s="13" t="n">
        <v>3.1</v>
      </c>
      <c r="I1139" s="11" t="n">
        <v>2449</v>
      </c>
      <c r="J1139" s="11" t="n">
        <f aca="false">E1139-F1139</f>
        <v>778</v>
      </c>
      <c r="K1139" s="10" t="str">
        <f aca="false">IF(G1139&lt;0.2,"0-19%",IF(G1139&lt;0.4,"20-39%",IF(G1139&lt;0.6,"40-59%",IF(G1139&lt;0.8,"60-79%","80%+"))))</f>
        <v>40-59%</v>
      </c>
      <c r="L1139" s="10" t="str">
        <f aca="false">IF(H1139="","No rating",IF(H1139&lt;3.5,"Below 3.5",IF(H1139&lt;4,"3.5-3.9",IF(H1139&lt;4.5,"4.0-4.4","4.5+"))))</f>
        <v>Below 3.5</v>
      </c>
    </row>
    <row r="1140" customFormat="false" ht="15" hidden="false" customHeight="false" outlineLevel="0" collapsed="false">
      <c r="A1140" s="10" t="s">
        <v>2315</v>
      </c>
      <c r="B1140" s="10" t="s">
        <v>2316</v>
      </c>
      <c r="C1140" s="10" t="s">
        <v>1181</v>
      </c>
      <c r="D1140" s="10" t="s">
        <v>1851</v>
      </c>
      <c r="E1140" s="11" t="n">
        <v>3295</v>
      </c>
      <c r="F1140" s="11" t="n">
        <v>2903</v>
      </c>
      <c r="G1140" s="12" t="n">
        <v>0.12</v>
      </c>
      <c r="H1140" s="13" t="n">
        <v>4.3</v>
      </c>
      <c r="I1140" s="11" t="n">
        <v>2299</v>
      </c>
      <c r="J1140" s="11" t="n">
        <f aca="false">E1140-F1140</f>
        <v>392</v>
      </c>
      <c r="K1140" s="10" t="str">
        <f aca="false">IF(G1140&lt;0.2,"0-19%",IF(G1140&lt;0.4,"20-39%",IF(G1140&lt;0.6,"40-59%",IF(G1140&lt;0.8,"60-79%","80%+"))))</f>
        <v>0-19%</v>
      </c>
      <c r="L1140" s="10" t="str">
        <f aca="false">IF(H1140="","No rating",IF(H1140&lt;3.5,"Below 3.5",IF(H1140&lt;4,"3.5-3.9",IF(H1140&lt;4.5,"4.0-4.4","4.5+"))))</f>
        <v>4.0-4.4</v>
      </c>
    </row>
    <row r="1141" customFormat="false" ht="15" hidden="false" customHeight="false" outlineLevel="0" collapsed="false">
      <c r="A1141" s="10" t="s">
        <v>2317</v>
      </c>
      <c r="B1141" s="10" t="s">
        <v>2318</v>
      </c>
      <c r="C1141" s="10" t="s">
        <v>1181</v>
      </c>
      <c r="D1141" s="10" t="s">
        <v>1851</v>
      </c>
      <c r="E1141" s="11" t="n">
        <v>2695</v>
      </c>
      <c r="F1141" s="11" t="n">
        <v>1656</v>
      </c>
      <c r="G1141" s="12" t="n">
        <v>0.39</v>
      </c>
      <c r="H1141" s="13" t="n">
        <v>4.4</v>
      </c>
      <c r="I1141" s="11" t="n">
        <v>6027</v>
      </c>
      <c r="J1141" s="11" t="n">
        <f aca="false">E1141-F1141</f>
        <v>1039</v>
      </c>
      <c r="K1141" s="10" t="str">
        <f aca="false">IF(G1141&lt;0.2,"0-19%",IF(G1141&lt;0.4,"20-39%",IF(G1141&lt;0.6,"40-59%",IF(G1141&lt;0.8,"60-79%","80%+"))))</f>
        <v>20-39%</v>
      </c>
      <c r="L1141" s="10" t="str">
        <f aca="false">IF(H1141="","No rating",IF(H1141&lt;3.5,"Below 3.5",IF(H1141&lt;4,"3.5-3.9",IF(H1141&lt;4.5,"4.0-4.4","4.5+"))))</f>
        <v>4.0-4.4</v>
      </c>
    </row>
    <row r="1142" customFormat="false" ht="15" hidden="false" customHeight="false" outlineLevel="0" collapsed="false">
      <c r="A1142" s="10" t="s">
        <v>2319</v>
      </c>
      <c r="B1142" s="10" t="s">
        <v>2320</v>
      </c>
      <c r="C1142" s="10" t="s">
        <v>1181</v>
      </c>
      <c r="D1142" s="10" t="s">
        <v>1851</v>
      </c>
      <c r="E1142" s="11" t="n">
        <v>2290</v>
      </c>
      <c r="F1142" s="11" t="n">
        <v>1399</v>
      </c>
      <c r="G1142" s="12" t="n">
        <v>0.39</v>
      </c>
      <c r="H1142" s="13" t="n">
        <v>4.4</v>
      </c>
      <c r="I1142" s="11" t="n">
        <v>461</v>
      </c>
      <c r="J1142" s="11" t="n">
        <f aca="false">E1142-F1142</f>
        <v>891</v>
      </c>
      <c r="K1142" s="10" t="str">
        <f aca="false">IF(G1142&lt;0.2,"0-19%",IF(G1142&lt;0.4,"20-39%",IF(G1142&lt;0.6,"40-59%",IF(G1142&lt;0.8,"60-79%","80%+"))))</f>
        <v>20-39%</v>
      </c>
      <c r="L1142" s="10" t="str">
        <f aca="false">IF(H1142="","No rating",IF(H1142&lt;3.5,"Below 3.5",IF(H1142&lt;4,"3.5-3.9",IF(H1142&lt;4.5,"4.0-4.4","4.5+"))))</f>
        <v>4.0-4.4</v>
      </c>
    </row>
    <row r="1143" customFormat="false" ht="15" hidden="false" customHeight="false" outlineLevel="0" collapsed="false">
      <c r="A1143" s="10" t="s">
        <v>2321</v>
      </c>
      <c r="B1143" s="10" t="s">
        <v>2322</v>
      </c>
      <c r="C1143" s="10" t="s">
        <v>1181</v>
      </c>
      <c r="D1143" s="10" t="s">
        <v>1851</v>
      </c>
      <c r="E1143" s="11" t="n">
        <v>3099</v>
      </c>
      <c r="F1143" s="11" t="n">
        <v>2079</v>
      </c>
      <c r="G1143" s="12" t="n">
        <v>0.33</v>
      </c>
      <c r="H1143" s="13" t="n">
        <v>4.1</v>
      </c>
      <c r="I1143" s="11" t="n">
        <v>282</v>
      </c>
      <c r="J1143" s="11" t="n">
        <f aca="false">E1143-F1143</f>
        <v>1020</v>
      </c>
      <c r="K1143" s="10" t="str">
        <f aca="false">IF(G1143&lt;0.2,"0-19%",IF(G1143&lt;0.4,"20-39%",IF(G1143&lt;0.6,"40-59%",IF(G1143&lt;0.8,"60-79%","80%+"))))</f>
        <v>20-39%</v>
      </c>
      <c r="L1143" s="10" t="str">
        <f aca="false">IF(H1143="","No rating",IF(H1143&lt;3.5,"Below 3.5",IF(H1143&lt;4,"3.5-3.9",IF(H1143&lt;4.5,"4.0-4.4","4.5+"))))</f>
        <v>4.0-4.4</v>
      </c>
    </row>
    <row r="1144" customFormat="false" ht="15" hidden="false" customHeight="false" outlineLevel="0" collapsed="false">
      <c r="A1144" s="10" t="s">
        <v>2323</v>
      </c>
      <c r="B1144" s="10" t="s">
        <v>2324</v>
      </c>
      <c r="C1144" s="10" t="s">
        <v>1181</v>
      </c>
      <c r="D1144" s="10" t="s">
        <v>1854</v>
      </c>
      <c r="E1144" s="11" t="n">
        <v>1075</v>
      </c>
      <c r="F1144" s="11" t="n">
        <v>999</v>
      </c>
      <c r="G1144" s="12" t="n">
        <v>0.07</v>
      </c>
      <c r="H1144" s="13" t="n">
        <v>4.1</v>
      </c>
      <c r="I1144" s="11" t="n">
        <v>9275</v>
      </c>
      <c r="J1144" s="11" t="n">
        <f aca="false">E1144-F1144</f>
        <v>76</v>
      </c>
      <c r="K1144" s="10" t="str">
        <f aca="false">IF(G1144&lt;0.2,"0-19%",IF(G1144&lt;0.4,"20-39%",IF(G1144&lt;0.6,"40-59%",IF(G1144&lt;0.8,"60-79%","80%+"))))</f>
        <v>0-19%</v>
      </c>
      <c r="L1144" s="10" t="str">
        <f aca="false">IF(H1144="","No rating",IF(H1144&lt;3.5,"Below 3.5",IF(H1144&lt;4,"3.5-3.9",IF(H1144&lt;4.5,"4.0-4.4","4.5+"))))</f>
        <v>4.0-4.4</v>
      </c>
    </row>
    <row r="1145" customFormat="false" ht="15" hidden="false" customHeight="false" outlineLevel="0" collapsed="false">
      <c r="A1145" s="10" t="s">
        <v>2325</v>
      </c>
      <c r="B1145" s="10" t="s">
        <v>2326</v>
      </c>
      <c r="C1145" s="10" t="s">
        <v>1181</v>
      </c>
      <c r="D1145" s="10" t="s">
        <v>1851</v>
      </c>
      <c r="E1145" s="11" t="n">
        <v>6999</v>
      </c>
      <c r="F1145" s="11" t="n">
        <v>3179</v>
      </c>
      <c r="G1145" s="12" t="n">
        <v>0.55</v>
      </c>
      <c r="H1145" s="13" t="n">
        <v>4</v>
      </c>
      <c r="I1145" s="11" t="n">
        <v>743</v>
      </c>
      <c r="J1145" s="11" t="n">
        <f aca="false">E1145-F1145</f>
        <v>3820</v>
      </c>
      <c r="K1145" s="10" t="str">
        <f aca="false">IF(G1145&lt;0.2,"0-19%",IF(G1145&lt;0.4,"20-39%",IF(G1145&lt;0.6,"40-59%",IF(G1145&lt;0.8,"60-79%","80%+"))))</f>
        <v>40-59%</v>
      </c>
      <c r="L1145" s="10" t="str">
        <f aca="false">IF(H1145="","No rating",IF(H1145&lt;3.5,"Below 3.5",IF(H1145&lt;4,"3.5-3.9",IF(H1145&lt;4.5,"4.0-4.4","4.5+"))))</f>
        <v>4.0-4.4</v>
      </c>
    </row>
    <row r="1146" customFormat="false" ht="15" hidden="false" customHeight="false" outlineLevel="0" collapsed="false">
      <c r="A1146" s="10" t="s">
        <v>2327</v>
      </c>
      <c r="B1146" s="10" t="s">
        <v>2328</v>
      </c>
      <c r="C1146" s="10" t="s">
        <v>1181</v>
      </c>
      <c r="D1146" s="10" t="s">
        <v>1854</v>
      </c>
      <c r="E1146" s="11" t="n">
        <v>2499</v>
      </c>
      <c r="F1146" s="11" t="n">
        <v>1049</v>
      </c>
      <c r="G1146" s="12" t="n">
        <v>0.58</v>
      </c>
      <c r="H1146" s="13" t="n">
        <v>3.6</v>
      </c>
      <c r="I1146" s="11" t="n">
        <v>328</v>
      </c>
      <c r="J1146" s="11" t="n">
        <f aca="false">E1146-F1146</f>
        <v>1450</v>
      </c>
      <c r="K1146" s="10" t="str">
        <f aca="false">IF(G1146&lt;0.2,"0-19%",IF(G1146&lt;0.4,"20-39%",IF(G1146&lt;0.6,"40-59%",IF(G1146&lt;0.8,"60-79%","80%+"))))</f>
        <v>40-59%</v>
      </c>
      <c r="L1146" s="10" t="str">
        <f aca="false">IF(H1146="","No rating",IF(H1146&lt;3.5,"Below 3.5",IF(H1146&lt;4,"3.5-3.9",IF(H1146&lt;4.5,"4.0-4.4","4.5+"))))</f>
        <v>3.5-3.9</v>
      </c>
    </row>
    <row r="1147" customFormat="false" ht="15" hidden="false" customHeight="false" outlineLevel="0" collapsed="false">
      <c r="A1147" s="10" t="s">
        <v>2329</v>
      </c>
      <c r="B1147" s="10" t="s">
        <v>2330</v>
      </c>
      <c r="C1147" s="10" t="s">
        <v>1181</v>
      </c>
      <c r="D1147" s="10" t="s">
        <v>1854</v>
      </c>
      <c r="E1147" s="11" t="n">
        <v>7290</v>
      </c>
      <c r="F1147" s="11" t="n">
        <v>3599</v>
      </c>
      <c r="G1147" s="12" t="n">
        <v>0.51</v>
      </c>
      <c r="H1147" s="13" t="n">
        <v>3.9</v>
      </c>
      <c r="I1147" s="11" t="n">
        <v>942</v>
      </c>
      <c r="J1147" s="11" t="n">
        <f aca="false">E1147-F1147</f>
        <v>3691</v>
      </c>
      <c r="K1147" s="10" t="str">
        <f aca="false">IF(G1147&lt;0.2,"0-19%",IF(G1147&lt;0.4,"20-39%",IF(G1147&lt;0.6,"40-59%",IF(G1147&lt;0.8,"60-79%","80%+"))))</f>
        <v>40-59%</v>
      </c>
      <c r="L1147" s="10" t="str">
        <f aca="false">IF(H1147="","No rating",IF(H1147&lt;3.5,"Below 3.5",IF(H1147&lt;4,"3.5-3.9",IF(H1147&lt;4.5,"4.0-4.4","4.5+"))))</f>
        <v>3.5-3.9</v>
      </c>
    </row>
    <row r="1148" customFormat="false" ht="15" hidden="false" customHeight="false" outlineLevel="0" collapsed="false">
      <c r="A1148" s="10" t="s">
        <v>2331</v>
      </c>
      <c r="B1148" s="10" t="s">
        <v>2332</v>
      </c>
      <c r="C1148" s="10" t="s">
        <v>1181</v>
      </c>
      <c r="D1148" s="10" t="s">
        <v>1851</v>
      </c>
      <c r="E1148" s="11" t="n">
        <v>5795</v>
      </c>
      <c r="F1148" s="11" t="n">
        <v>4799</v>
      </c>
      <c r="G1148" s="12" t="n">
        <v>0.17</v>
      </c>
      <c r="H1148" s="13" t="n">
        <v>3.9</v>
      </c>
      <c r="I1148" s="11" t="n">
        <v>3815</v>
      </c>
      <c r="J1148" s="11" t="n">
        <f aca="false">E1148-F1148</f>
        <v>996</v>
      </c>
      <c r="K1148" s="10" t="str">
        <f aca="false">IF(G1148&lt;0.2,"0-19%",IF(G1148&lt;0.4,"20-39%",IF(G1148&lt;0.6,"40-59%",IF(G1148&lt;0.8,"60-79%","80%+"))))</f>
        <v>0-19%</v>
      </c>
      <c r="L1148" s="10" t="str">
        <f aca="false">IF(H1148="","No rating",IF(H1148&lt;3.5,"Below 3.5",IF(H1148&lt;4,"3.5-3.9",IF(H1148&lt;4.5,"4.0-4.4","4.5+"))))</f>
        <v>3.5-3.9</v>
      </c>
    </row>
    <row r="1149" customFormat="false" ht="15" hidden="false" customHeight="false" outlineLevel="0" collapsed="false">
      <c r="A1149" s="10" t="s">
        <v>2333</v>
      </c>
      <c r="B1149" s="10" t="s">
        <v>2334</v>
      </c>
      <c r="C1149" s="10" t="s">
        <v>1181</v>
      </c>
      <c r="D1149" s="10" t="s">
        <v>1851</v>
      </c>
      <c r="E1149" s="11" t="n">
        <v>3398</v>
      </c>
      <c r="F1149" s="11" t="n">
        <v>1699</v>
      </c>
      <c r="G1149" s="12" t="n">
        <v>0.5</v>
      </c>
      <c r="H1149" s="13" t="n">
        <v>3.8</v>
      </c>
      <c r="I1149" s="11" t="n">
        <v>7988</v>
      </c>
      <c r="J1149" s="11" t="n">
        <f aca="false">E1149-F1149</f>
        <v>1699</v>
      </c>
      <c r="K1149" s="10" t="str">
        <f aca="false">IF(G1149&lt;0.2,"0-19%",IF(G1149&lt;0.4,"20-39%",IF(G1149&lt;0.6,"40-59%",IF(G1149&lt;0.8,"60-79%","80%+"))))</f>
        <v>40-59%</v>
      </c>
      <c r="L1149" s="10" t="str">
        <f aca="false">IF(H1149="","No rating",IF(H1149&lt;3.5,"Below 3.5",IF(H1149&lt;4,"3.5-3.9",IF(H1149&lt;4.5,"4.0-4.4","4.5+"))))</f>
        <v>3.5-3.9</v>
      </c>
    </row>
    <row r="1150" customFormat="false" ht="15" hidden="false" customHeight="false" outlineLevel="0" collapsed="false">
      <c r="A1150" s="10" t="s">
        <v>2335</v>
      </c>
      <c r="B1150" s="10" t="s">
        <v>2336</v>
      </c>
      <c r="C1150" s="10" t="s">
        <v>1181</v>
      </c>
      <c r="D1150" s="10" t="s">
        <v>1851</v>
      </c>
      <c r="E1150" s="11" t="n">
        <v>1490</v>
      </c>
      <c r="F1150" s="11" t="n">
        <v>664</v>
      </c>
      <c r="G1150" s="12" t="n">
        <v>0.55</v>
      </c>
      <c r="H1150" s="13" t="n">
        <v>4.1</v>
      </c>
      <c r="I1150" s="11" t="n">
        <v>925</v>
      </c>
      <c r="J1150" s="11" t="n">
        <f aca="false">E1150-F1150</f>
        <v>826</v>
      </c>
      <c r="K1150" s="10" t="str">
        <f aca="false">IF(G1150&lt;0.2,"0-19%",IF(G1150&lt;0.4,"20-39%",IF(G1150&lt;0.6,"40-59%",IF(G1150&lt;0.8,"60-79%","80%+"))))</f>
        <v>40-59%</v>
      </c>
      <c r="L1150" s="10" t="str">
        <f aca="false">IF(H1150="","No rating",IF(H1150&lt;3.5,"Below 3.5",IF(H1150&lt;4,"3.5-3.9",IF(H1150&lt;4.5,"4.0-4.4","4.5+"))))</f>
        <v>4.0-4.4</v>
      </c>
    </row>
    <row r="1151" customFormat="false" ht="15" hidden="false" customHeight="false" outlineLevel="0" collapsed="false">
      <c r="A1151" s="10" t="s">
        <v>2337</v>
      </c>
      <c r="B1151" s="10" t="s">
        <v>2338</v>
      </c>
      <c r="C1151" s="10" t="s">
        <v>1181</v>
      </c>
      <c r="D1151" s="10" t="s">
        <v>1854</v>
      </c>
      <c r="E1151" s="11" t="n">
        <v>1620</v>
      </c>
      <c r="F1151" s="11" t="n">
        <v>948</v>
      </c>
      <c r="G1151" s="12" t="n">
        <v>0.41</v>
      </c>
      <c r="H1151" s="13" t="n">
        <v>4.1</v>
      </c>
      <c r="I1151" s="11" t="n">
        <v>4370</v>
      </c>
      <c r="J1151" s="11" t="n">
        <f aca="false">E1151-F1151</f>
        <v>672</v>
      </c>
      <c r="K1151" s="10" t="str">
        <f aca="false">IF(G1151&lt;0.2,"0-19%",IF(G1151&lt;0.4,"20-39%",IF(G1151&lt;0.6,"40-59%",IF(G1151&lt;0.8,"60-79%","80%+"))))</f>
        <v>40-59%</v>
      </c>
      <c r="L1151" s="10" t="str">
        <f aca="false">IF(H1151="","No rating",IF(H1151&lt;3.5,"Below 3.5",IF(H1151&lt;4,"3.5-3.9",IF(H1151&lt;4.5,"4.0-4.4","4.5+"))))</f>
        <v>4.0-4.4</v>
      </c>
    </row>
    <row r="1152" customFormat="false" ht="15" hidden="false" customHeight="false" outlineLevel="0" collapsed="false">
      <c r="A1152" s="10" t="s">
        <v>2339</v>
      </c>
      <c r="B1152" s="10" t="s">
        <v>2340</v>
      </c>
      <c r="C1152" s="10" t="s">
        <v>1181</v>
      </c>
      <c r="D1152" s="10" t="s">
        <v>1851</v>
      </c>
      <c r="E1152" s="11" t="n">
        <v>1000</v>
      </c>
      <c r="F1152" s="11" t="n">
        <v>850</v>
      </c>
      <c r="G1152" s="12" t="n">
        <v>0.15</v>
      </c>
      <c r="H1152" s="13" t="n">
        <v>4.1</v>
      </c>
      <c r="I1152" s="11" t="n">
        <v>7619</v>
      </c>
      <c r="J1152" s="11" t="n">
        <f aca="false">E1152-F1152</f>
        <v>150</v>
      </c>
      <c r="K1152" s="10" t="str">
        <f aca="false">IF(G1152&lt;0.2,"0-19%",IF(G1152&lt;0.4,"20-39%",IF(G1152&lt;0.6,"40-59%",IF(G1152&lt;0.8,"60-79%","80%+"))))</f>
        <v>0-19%</v>
      </c>
      <c r="L1152" s="10" t="str">
        <f aca="false">IF(H1152="","No rating",IF(H1152&lt;3.5,"Below 3.5",IF(H1152&lt;4,"3.5-3.9",IF(H1152&lt;4.5,"4.0-4.4","4.5+"))))</f>
        <v>4.0-4.4</v>
      </c>
    </row>
    <row r="1153" customFormat="false" ht="15" hidden="false" customHeight="false" outlineLevel="0" collapsed="false">
      <c r="A1153" s="10" t="s">
        <v>2341</v>
      </c>
      <c r="B1153" s="10" t="s">
        <v>2342</v>
      </c>
      <c r="C1153" s="10" t="s">
        <v>1181</v>
      </c>
      <c r="D1153" s="10" t="s">
        <v>1851</v>
      </c>
      <c r="E1153" s="11" t="n">
        <v>640</v>
      </c>
      <c r="F1153" s="11" t="n">
        <v>600</v>
      </c>
      <c r="G1153" s="12" t="n">
        <v>0.06</v>
      </c>
      <c r="H1153" s="13" t="n">
        <v>3.8</v>
      </c>
      <c r="I1153" s="11" t="n">
        <v>2593</v>
      </c>
      <c r="J1153" s="11" t="n">
        <f aca="false">E1153-F1153</f>
        <v>40</v>
      </c>
      <c r="K1153" s="10" t="str">
        <f aca="false">IF(G1153&lt;0.2,"0-19%",IF(G1153&lt;0.4,"20-39%",IF(G1153&lt;0.6,"40-59%",IF(G1153&lt;0.8,"60-79%","80%+"))))</f>
        <v>0-19%</v>
      </c>
      <c r="L1153" s="10" t="str">
        <f aca="false">IF(H1153="","No rating",IF(H1153&lt;3.5,"Below 3.5",IF(H1153&lt;4,"3.5-3.9",IF(H1153&lt;4.5,"4.0-4.4","4.5+"))))</f>
        <v>3.5-3.9</v>
      </c>
    </row>
    <row r="1154" customFormat="false" ht="15" hidden="false" customHeight="false" outlineLevel="0" collapsed="false">
      <c r="A1154" s="10" t="s">
        <v>2343</v>
      </c>
      <c r="B1154" s="10" t="s">
        <v>2344</v>
      </c>
      <c r="C1154" s="10" t="s">
        <v>1181</v>
      </c>
      <c r="D1154" s="10" t="s">
        <v>1854</v>
      </c>
      <c r="E1154" s="11" t="n">
        <v>4495</v>
      </c>
      <c r="F1154" s="11" t="n">
        <v>3711</v>
      </c>
      <c r="G1154" s="12" t="n">
        <v>0.17</v>
      </c>
      <c r="H1154" s="13" t="n">
        <v>4.3</v>
      </c>
      <c r="I1154" s="11" t="n">
        <v>356</v>
      </c>
      <c r="J1154" s="11" t="n">
        <f aca="false">E1154-F1154</f>
        <v>784</v>
      </c>
      <c r="K1154" s="10" t="str">
        <f aca="false">IF(G1154&lt;0.2,"0-19%",IF(G1154&lt;0.4,"20-39%",IF(G1154&lt;0.6,"40-59%",IF(G1154&lt;0.8,"60-79%","80%+"))))</f>
        <v>0-19%</v>
      </c>
      <c r="L1154" s="10" t="str">
        <f aca="false">IF(H1154="","No rating",IF(H1154&lt;3.5,"Below 3.5",IF(H1154&lt;4,"3.5-3.9",IF(H1154&lt;4.5,"4.0-4.4","4.5+"))))</f>
        <v>4.0-4.4</v>
      </c>
    </row>
    <row r="1155" customFormat="false" ht="15" hidden="false" customHeight="false" outlineLevel="0" collapsed="false">
      <c r="A1155" s="10" t="s">
        <v>2345</v>
      </c>
      <c r="B1155" s="10" t="s">
        <v>2346</v>
      </c>
      <c r="C1155" s="10" t="s">
        <v>1181</v>
      </c>
      <c r="D1155" s="10" t="s">
        <v>1851</v>
      </c>
      <c r="E1155" s="11" t="n">
        <v>2999</v>
      </c>
      <c r="F1155" s="11" t="n">
        <v>799</v>
      </c>
      <c r="G1155" s="12" t="n">
        <v>0.73</v>
      </c>
      <c r="H1155" s="13" t="n">
        <v>4.5</v>
      </c>
      <c r="I1155" s="11" t="n">
        <v>63</v>
      </c>
      <c r="J1155" s="11" t="n">
        <f aca="false">E1155-F1155</f>
        <v>2200</v>
      </c>
      <c r="K1155" s="10" t="str">
        <f aca="false">IF(G1155&lt;0.2,"0-19%",IF(G1155&lt;0.4,"20-39%",IF(G1155&lt;0.6,"40-59%",IF(G1155&lt;0.8,"60-79%","80%+"))))</f>
        <v>60-79%</v>
      </c>
      <c r="L1155" s="10" t="str">
        <f aca="false">IF(H1155="","No rating",IF(H1155&lt;3.5,"Below 3.5",IF(H1155&lt;4,"3.5-3.9",IF(H1155&lt;4.5,"4.0-4.4","4.5+"))))</f>
        <v>4.5+</v>
      </c>
    </row>
    <row r="1156" customFormat="false" ht="15" hidden="false" customHeight="false" outlineLevel="0" collapsed="false">
      <c r="A1156" s="10" t="s">
        <v>2347</v>
      </c>
      <c r="B1156" s="10" t="s">
        <v>2348</v>
      </c>
      <c r="C1156" s="10" t="s">
        <v>1181</v>
      </c>
      <c r="D1156" s="10" t="s">
        <v>1851</v>
      </c>
      <c r="E1156" s="11" t="n">
        <v>980</v>
      </c>
      <c r="F1156" s="11" t="n">
        <v>980</v>
      </c>
      <c r="G1156" s="12" t="n">
        <v>0</v>
      </c>
      <c r="H1156" s="13" t="n">
        <v>4.2</v>
      </c>
      <c r="I1156" s="11" t="n">
        <v>4740</v>
      </c>
      <c r="J1156" s="11" t="n">
        <f aca="false">E1156-F1156</f>
        <v>0</v>
      </c>
      <c r="K1156" s="10" t="str">
        <f aca="false">IF(G1156&lt;0.2,"0-19%",IF(G1156&lt;0.4,"20-39%",IF(G1156&lt;0.6,"40-59%",IF(G1156&lt;0.8,"60-79%","80%+"))))</f>
        <v>0-19%</v>
      </c>
      <c r="L1156" s="10" t="str">
        <f aca="false">IF(H1156="","No rating",IF(H1156&lt;3.5,"Below 3.5",IF(H1156&lt;4,"3.5-3.9",IF(H1156&lt;4.5,"4.0-4.4","4.5+"))))</f>
        <v>4.0-4.4</v>
      </c>
    </row>
    <row r="1157" customFormat="false" ht="15" hidden="false" customHeight="false" outlineLevel="0" collapsed="false">
      <c r="A1157" s="10" t="s">
        <v>2349</v>
      </c>
      <c r="B1157" s="10" t="s">
        <v>2350</v>
      </c>
      <c r="C1157" s="10" t="s">
        <v>1181</v>
      </c>
      <c r="D1157" s="10" t="s">
        <v>1920</v>
      </c>
      <c r="E1157" s="11" t="n">
        <v>899</v>
      </c>
      <c r="F1157" s="11" t="n">
        <v>351</v>
      </c>
      <c r="G1157" s="12" t="n">
        <v>0.61</v>
      </c>
      <c r="H1157" s="13" t="n">
        <v>3.9</v>
      </c>
      <c r="I1157" s="11" t="n">
        <v>296</v>
      </c>
      <c r="J1157" s="11" t="n">
        <f aca="false">E1157-F1157</f>
        <v>548</v>
      </c>
      <c r="K1157" s="10" t="str">
        <f aca="false">IF(G1157&lt;0.2,"0-19%",IF(G1157&lt;0.4,"20-39%",IF(G1157&lt;0.6,"40-59%",IF(G1157&lt;0.8,"60-79%","80%+"))))</f>
        <v>60-79%</v>
      </c>
      <c r="L1157" s="10" t="str">
        <f aca="false">IF(H1157="","No rating",IF(H1157&lt;3.5,"Below 3.5",IF(H1157&lt;4,"3.5-3.9",IF(H1157&lt;4.5,"4.0-4.4","4.5+"))))</f>
        <v>3.5-3.9</v>
      </c>
    </row>
    <row r="1158" customFormat="false" ht="15" hidden="false" customHeight="false" outlineLevel="0" collapsed="false">
      <c r="A1158" s="10" t="s">
        <v>2351</v>
      </c>
      <c r="B1158" s="10" t="s">
        <v>2352</v>
      </c>
      <c r="C1158" s="10" t="s">
        <v>1181</v>
      </c>
      <c r="D1158" s="10" t="s">
        <v>1851</v>
      </c>
      <c r="E1158" s="11" t="n">
        <v>499</v>
      </c>
      <c r="F1158" s="11" t="n">
        <v>229</v>
      </c>
      <c r="G1158" s="12" t="n">
        <v>0.54</v>
      </c>
      <c r="H1158" s="13" t="n">
        <v>3.5</v>
      </c>
      <c r="I1158" s="11" t="n">
        <v>185</v>
      </c>
      <c r="J1158" s="11" t="n">
        <f aca="false">E1158-F1158</f>
        <v>270</v>
      </c>
      <c r="K1158" s="10" t="str">
        <f aca="false">IF(G1158&lt;0.2,"0-19%",IF(G1158&lt;0.4,"20-39%",IF(G1158&lt;0.6,"40-59%",IF(G1158&lt;0.8,"60-79%","80%+"))))</f>
        <v>40-59%</v>
      </c>
      <c r="L1158" s="10" t="str">
        <f aca="false">IF(H1158="","No rating",IF(H1158&lt;3.5,"Below 3.5",IF(H1158&lt;4,"3.5-3.9",IF(H1158&lt;4.5,"4.0-4.4","4.5+"))))</f>
        <v>3.5-3.9</v>
      </c>
    </row>
    <row r="1159" customFormat="false" ht="15" hidden="false" customHeight="false" outlineLevel="0" collapsed="false">
      <c r="A1159" s="10" t="s">
        <v>2353</v>
      </c>
      <c r="B1159" s="10" t="s">
        <v>2354</v>
      </c>
      <c r="C1159" s="10" t="s">
        <v>1181</v>
      </c>
      <c r="D1159" s="10" t="s">
        <v>1851</v>
      </c>
      <c r="E1159" s="11" t="n">
        <v>3995</v>
      </c>
      <c r="F1159" s="11" t="n">
        <v>3349</v>
      </c>
      <c r="G1159" s="12" t="n">
        <v>0.16</v>
      </c>
      <c r="H1159" s="13" t="n">
        <v>4.3</v>
      </c>
      <c r="I1159" s="11" t="n">
        <v>1954</v>
      </c>
      <c r="J1159" s="11" t="n">
        <f aca="false">E1159-F1159</f>
        <v>646</v>
      </c>
      <c r="K1159" s="10" t="str">
        <f aca="false">IF(G1159&lt;0.2,"0-19%",IF(G1159&lt;0.4,"20-39%",IF(G1159&lt;0.6,"40-59%",IF(G1159&lt;0.8,"60-79%","80%+"))))</f>
        <v>0-19%</v>
      </c>
      <c r="L1159" s="10" t="str">
        <f aca="false">IF(H1159="","No rating",IF(H1159&lt;3.5,"Below 3.5",IF(H1159&lt;4,"3.5-3.9",IF(H1159&lt;4.5,"4.0-4.4","4.5+"))))</f>
        <v>4.0-4.4</v>
      </c>
    </row>
    <row r="1160" customFormat="false" ht="15" hidden="false" customHeight="false" outlineLevel="0" collapsed="false">
      <c r="A1160" s="10" t="s">
        <v>2355</v>
      </c>
      <c r="B1160" s="10" t="s">
        <v>2356</v>
      </c>
      <c r="C1160" s="10" t="s">
        <v>1181</v>
      </c>
      <c r="D1160" s="10" t="s">
        <v>1854</v>
      </c>
      <c r="E1160" s="11" t="n">
        <v>11500</v>
      </c>
      <c r="F1160" s="11" t="n">
        <v>5499</v>
      </c>
      <c r="G1160" s="12" t="n">
        <v>0.52</v>
      </c>
      <c r="H1160" s="13" t="n">
        <v>3.9</v>
      </c>
      <c r="I1160" s="11" t="n">
        <v>959</v>
      </c>
      <c r="J1160" s="11" t="n">
        <f aca="false">E1160-F1160</f>
        <v>6001</v>
      </c>
      <c r="K1160" s="10" t="str">
        <f aca="false">IF(G1160&lt;0.2,"0-19%",IF(G1160&lt;0.4,"20-39%",IF(G1160&lt;0.6,"40-59%",IF(G1160&lt;0.8,"60-79%","80%+"))))</f>
        <v>40-59%</v>
      </c>
      <c r="L1160" s="10" t="str">
        <f aca="false">IF(H1160="","No rating",IF(H1160&lt;3.5,"Below 3.5",IF(H1160&lt;4,"3.5-3.9",IF(H1160&lt;4.5,"4.0-4.4","4.5+"))))</f>
        <v>3.5-3.9</v>
      </c>
    </row>
    <row r="1161" customFormat="false" ht="15" hidden="false" customHeight="false" outlineLevel="0" collapsed="false">
      <c r="A1161" s="10" t="s">
        <v>2357</v>
      </c>
      <c r="B1161" s="10" t="s">
        <v>2358</v>
      </c>
      <c r="C1161" s="10" t="s">
        <v>1181</v>
      </c>
      <c r="D1161" s="10" t="s">
        <v>1851</v>
      </c>
      <c r="E1161" s="11" t="n">
        <v>499</v>
      </c>
      <c r="F1161" s="11" t="n">
        <v>299</v>
      </c>
      <c r="G1161" s="12" t="n">
        <v>0.4</v>
      </c>
      <c r="H1161" s="13" t="n">
        <v>3.9</v>
      </c>
      <c r="I1161" s="11" t="n">
        <v>1015</v>
      </c>
      <c r="J1161" s="11" t="n">
        <f aca="false">E1161-F1161</f>
        <v>200</v>
      </c>
      <c r="K1161" s="10" t="str">
        <f aca="false">IF(G1161&lt;0.2,"0-19%",IF(G1161&lt;0.4,"20-39%",IF(G1161&lt;0.6,"40-59%",IF(G1161&lt;0.8,"60-79%","80%+"))))</f>
        <v>40-59%</v>
      </c>
      <c r="L1161" s="10" t="str">
        <f aca="false">IF(H1161="","No rating",IF(H1161&lt;3.5,"Below 3.5",IF(H1161&lt;4,"3.5-3.9",IF(H1161&lt;4.5,"4.0-4.4","4.5+"))))</f>
        <v>3.5-3.9</v>
      </c>
    </row>
    <row r="1162" customFormat="false" ht="15" hidden="false" customHeight="false" outlineLevel="0" collapsed="false">
      <c r="A1162" s="10" t="s">
        <v>2359</v>
      </c>
      <c r="B1162" s="10" t="s">
        <v>2360</v>
      </c>
      <c r="C1162" s="10" t="s">
        <v>1181</v>
      </c>
      <c r="D1162" s="10" t="s">
        <v>1854</v>
      </c>
      <c r="E1162" s="11" t="n">
        <v>3550</v>
      </c>
      <c r="F1162" s="11" t="n">
        <v>2249</v>
      </c>
      <c r="G1162" s="12" t="n">
        <v>0.37</v>
      </c>
      <c r="H1162" s="13" t="n">
        <v>4</v>
      </c>
      <c r="I1162" s="11" t="n">
        <v>3973</v>
      </c>
      <c r="J1162" s="11" t="n">
        <f aca="false">E1162-F1162</f>
        <v>1301</v>
      </c>
      <c r="K1162" s="10" t="str">
        <f aca="false">IF(G1162&lt;0.2,"0-19%",IF(G1162&lt;0.4,"20-39%",IF(G1162&lt;0.6,"40-59%",IF(G1162&lt;0.8,"60-79%","80%+"))))</f>
        <v>20-39%</v>
      </c>
      <c r="L1162" s="10" t="str">
        <f aca="false">IF(H1162="","No rating",IF(H1162&lt;3.5,"Below 3.5",IF(H1162&lt;4,"3.5-3.9",IF(H1162&lt;4.5,"4.0-4.4","4.5+"))))</f>
        <v>4.0-4.4</v>
      </c>
    </row>
    <row r="1163" customFormat="false" ht="15" hidden="false" customHeight="false" outlineLevel="0" collapsed="false">
      <c r="A1163" s="10" t="s">
        <v>2361</v>
      </c>
      <c r="B1163" s="10" t="s">
        <v>2362</v>
      </c>
      <c r="C1163" s="10" t="s">
        <v>1181</v>
      </c>
      <c r="D1163" s="10" t="s">
        <v>1851</v>
      </c>
      <c r="E1163" s="11" t="n">
        <v>1599</v>
      </c>
      <c r="F1163" s="11" t="n">
        <v>699</v>
      </c>
      <c r="G1163" s="12" t="n">
        <v>0.56</v>
      </c>
      <c r="H1163" s="13" t="n">
        <v>4.7</v>
      </c>
      <c r="I1163" s="11" t="n">
        <v>2300</v>
      </c>
      <c r="J1163" s="11" t="n">
        <f aca="false">E1163-F1163</f>
        <v>900</v>
      </c>
      <c r="K1163" s="10" t="str">
        <f aca="false">IF(G1163&lt;0.2,"0-19%",IF(G1163&lt;0.4,"20-39%",IF(G1163&lt;0.6,"40-59%",IF(G1163&lt;0.8,"60-79%","80%+"))))</f>
        <v>40-59%</v>
      </c>
      <c r="L1163" s="10" t="str">
        <f aca="false">IF(H1163="","No rating",IF(H1163&lt;3.5,"Below 3.5",IF(H1163&lt;4,"3.5-3.9",IF(H1163&lt;4.5,"4.0-4.4","4.5+"))))</f>
        <v>4.5+</v>
      </c>
    </row>
    <row r="1164" customFormat="false" ht="15" hidden="false" customHeight="false" outlineLevel="0" collapsed="false">
      <c r="A1164" s="10" t="s">
        <v>2363</v>
      </c>
      <c r="B1164" s="10" t="s">
        <v>2364</v>
      </c>
      <c r="C1164" s="10" t="s">
        <v>1181</v>
      </c>
      <c r="D1164" s="10" t="s">
        <v>1854</v>
      </c>
      <c r="E1164" s="11" t="n">
        <v>1499</v>
      </c>
      <c r="F1164" s="11" t="n">
        <v>1235</v>
      </c>
      <c r="G1164" s="12" t="n">
        <v>0.18</v>
      </c>
      <c r="H1164" s="13" t="n">
        <v>4.1</v>
      </c>
      <c r="I1164" s="11" t="n">
        <v>203</v>
      </c>
      <c r="J1164" s="11" t="n">
        <f aca="false">E1164-F1164</f>
        <v>264</v>
      </c>
      <c r="K1164" s="10" t="str">
        <f aca="false">IF(G1164&lt;0.2,"0-19%",IF(G1164&lt;0.4,"20-39%",IF(G1164&lt;0.6,"40-59%",IF(G1164&lt;0.8,"60-79%","80%+"))))</f>
        <v>0-19%</v>
      </c>
      <c r="L1164" s="10" t="str">
        <f aca="false">IF(H1164="","No rating",IF(H1164&lt;3.5,"Below 3.5",IF(H1164&lt;4,"3.5-3.9",IF(H1164&lt;4.5,"4.0-4.4","4.5+"))))</f>
        <v>4.0-4.4</v>
      </c>
    </row>
    <row r="1165" customFormat="false" ht="15" hidden="false" customHeight="false" outlineLevel="0" collapsed="false">
      <c r="A1165" s="10" t="s">
        <v>2365</v>
      </c>
      <c r="B1165" s="10" t="s">
        <v>2366</v>
      </c>
      <c r="C1165" s="10" t="s">
        <v>1181</v>
      </c>
      <c r="D1165" s="10" t="s">
        <v>1851</v>
      </c>
      <c r="E1165" s="11" t="n">
        <v>2999</v>
      </c>
      <c r="F1165" s="11" t="n">
        <v>1349</v>
      </c>
      <c r="G1165" s="12" t="n">
        <v>0.55</v>
      </c>
      <c r="H1165" s="13" t="n">
        <v>3.8</v>
      </c>
      <c r="I1165" s="11" t="n">
        <v>441</v>
      </c>
      <c r="J1165" s="11" t="n">
        <f aca="false">E1165-F1165</f>
        <v>1650</v>
      </c>
      <c r="K1165" s="10" t="str">
        <f aca="false">IF(G1165&lt;0.2,"0-19%",IF(G1165&lt;0.4,"20-39%",IF(G1165&lt;0.6,"40-59%",IF(G1165&lt;0.8,"60-79%","80%+"))))</f>
        <v>40-59%</v>
      </c>
      <c r="L1165" s="10" t="str">
        <f aca="false">IF(H1165="","No rating",IF(H1165&lt;3.5,"Below 3.5",IF(H1165&lt;4,"3.5-3.9",IF(H1165&lt;4.5,"4.0-4.4","4.5+"))))</f>
        <v>3.5-3.9</v>
      </c>
    </row>
    <row r="1166" customFormat="false" ht="15" hidden="false" customHeight="false" outlineLevel="0" collapsed="false">
      <c r="A1166" s="10" t="s">
        <v>2367</v>
      </c>
      <c r="B1166" s="10" t="s">
        <v>2368</v>
      </c>
      <c r="C1166" s="10" t="s">
        <v>1181</v>
      </c>
      <c r="D1166" s="10" t="s">
        <v>1854</v>
      </c>
      <c r="E1166" s="11" t="n">
        <v>11500</v>
      </c>
      <c r="F1166" s="11" t="n">
        <v>6800</v>
      </c>
      <c r="G1166" s="12" t="n">
        <v>0.41</v>
      </c>
      <c r="H1166" s="13" t="n">
        <v>4.1</v>
      </c>
      <c r="I1166" s="11" t="n">
        <v>10308</v>
      </c>
      <c r="J1166" s="11" t="n">
        <f aca="false">E1166-F1166</f>
        <v>4700</v>
      </c>
      <c r="K1166" s="10" t="str">
        <f aca="false">IF(G1166&lt;0.2,"0-19%",IF(G1166&lt;0.4,"20-39%",IF(G1166&lt;0.6,"40-59%",IF(G1166&lt;0.8,"60-79%","80%+"))))</f>
        <v>40-59%</v>
      </c>
      <c r="L1166" s="10" t="str">
        <f aca="false">IF(H1166="","No rating",IF(H1166&lt;3.5,"Below 3.5",IF(H1166&lt;4,"3.5-3.9",IF(H1166&lt;4.5,"4.0-4.4","4.5+"))))</f>
        <v>4.0-4.4</v>
      </c>
    </row>
    <row r="1167" customFormat="false" ht="15" hidden="false" customHeight="false" outlineLevel="0" collapsed="false">
      <c r="A1167" s="10" t="s">
        <v>2369</v>
      </c>
      <c r="B1167" s="10" t="s">
        <v>2370</v>
      </c>
      <c r="C1167" s="10" t="s">
        <v>1181</v>
      </c>
      <c r="D1167" s="10" t="s">
        <v>1851</v>
      </c>
      <c r="E1167" s="11" t="n">
        <v>2499</v>
      </c>
      <c r="F1167" s="11" t="n">
        <v>2099</v>
      </c>
      <c r="G1167" s="12" t="n">
        <v>0.16</v>
      </c>
      <c r="H1167" s="13"/>
      <c r="I1167" s="11" t="n">
        <v>992</v>
      </c>
      <c r="J1167" s="11" t="n">
        <f aca="false">E1167-F1167</f>
        <v>400</v>
      </c>
      <c r="K1167" s="10" t="str">
        <f aca="false">IF(G1167&lt;0.2,"0-19%",IF(G1167&lt;0.4,"20-39%",IF(G1167&lt;0.6,"40-59%",IF(G1167&lt;0.8,"60-79%","80%+"))))</f>
        <v>0-19%</v>
      </c>
      <c r="L1167" s="10" t="str">
        <f aca="false">IF(H1167="","No rating",IF(H1167&lt;3.5,"Below 3.5",IF(H1167&lt;4,"3.5-3.9",IF(H1167&lt;4.5,"4.0-4.4","4.5+"))))</f>
        <v>No rating</v>
      </c>
    </row>
    <row r="1168" customFormat="false" ht="15" hidden="false" customHeight="false" outlineLevel="0" collapsed="false">
      <c r="A1168" s="10" t="s">
        <v>2371</v>
      </c>
      <c r="B1168" s="10" t="s">
        <v>2372</v>
      </c>
      <c r="C1168" s="10" t="s">
        <v>1181</v>
      </c>
      <c r="D1168" s="10" t="s">
        <v>1851</v>
      </c>
      <c r="E1168" s="11" t="n">
        <v>1975</v>
      </c>
      <c r="F1168" s="11" t="n">
        <v>1699</v>
      </c>
      <c r="G1168" s="12" t="n">
        <v>0.14</v>
      </c>
      <c r="H1168" s="13" t="n">
        <v>4.1</v>
      </c>
      <c r="I1168" s="11" t="n">
        <v>4716</v>
      </c>
      <c r="J1168" s="11" t="n">
        <f aca="false">E1168-F1168</f>
        <v>276</v>
      </c>
      <c r="K1168" s="10" t="str">
        <f aca="false">IF(G1168&lt;0.2,"0-19%",IF(G1168&lt;0.4,"20-39%",IF(G1168&lt;0.6,"40-59%",IF(G1168&lt;0.8,"60-79%","80%+"))))</f>
        <v>0-19%</v>
      </c>
      <c r="L1168" s="10" t="str">
        <f aca="false">IF(H1168="","No rating",IF(H1168&lt;3.5,"Below 3.5",IF(H1168&lt;4,"3.5-3.9",IF(H1168&lt;4.5,"4.0-4.4","4.5+"))))</f>
        <v>4.0-4.4</v>
      </c>
    </row>
    <row r="1169" customFormat="false" ht="15" hidden="false" customHeight="false" outlineLevel="0" collapsed="false">
      <c r="A1169" s="10" t="s">
        <v>2373</v>
      </c>
      <c r="B1169" s="10" t="s">
        <v>2374</v>
      </c>
      <c r="C1169" s="10" t="s">
        <v>1181</v>
      </c>
      <c r="D1169" s="10" t="s">
        <v>1854</v>
      </c>
      <c r="E1169" s="11" t="n">
        <v>1699</v>
      </c>
      <c r="F1169" s="11" t="n">
        <v>1069</v>
      </c>
      <c r="G1169" s="12" t="n">
        <v>0.37</v>
      </c>
      <c r="H1169" s="13" t="n">
        <v>3.9</v>
      </c>
      <c r="I1169" s="11" t="n">
        <v>313</v>
      </c>
      <c r="J1169" s="11" t="n">
        <f aca="false">E1169-F1169</f>
        <v>630</v>
      </c>
      <c r="K1169" s="10" t="str">
        <f aca="false">IF(G1169&lt;0.2,"0-19%",IF(G1169&lt;0.4,"20-39%",IF(G1169&lt;0.6,"40-59%",IF(G1169&lt;0.8,"60-79%","80%+"))))</f>
        <v>20-39%</v>
      </c>
      <c r="L1169" s="10" t="str">
        <f aca="false">IF(H1169="","No rating",IF(H1169&lt;3.5,"Below 3.5",IF(H1169&lt;4,"3.5-3.9",IF(H1169&lt;4.5,"4.0-4.4","4.5+"))))</f>
        <v>3.5-3.9</v>
      </c>
    </row>
    <row r="1170" customFormat="false" ht="15" hidden="false" customHeight="false" outlineLevel="0" collapsed="false">
      <c r="A1170" s="10" t="s">
        <v>2375</v>
      </c>
      <c r="B1170" s="10" t="s">
        <v>2376</v>
      </c>
      <c r="C1170" s="10" t="s">
        <v>1181</v>
      </c>
      <c r="D1170" s="10" t="s">
        <v>1854</v>
      </c>
      <c r="E1170" s="11" t="n">
        <v>2495</v>
      </c>
      <c r="F1170" s="11" t="n">
        <v>1349</v>
      </c>
      <c r="G1170" s="12" t="n">
        <v>0.46</v>
      </c>
      <c r="H1170" s="13" t="n">
        <v>3.8</v>
      </c>
      <c r="I1170" s="11" t="n">
        <v>166</v>
      </c>
      <c r="J1170" s="11" t="n">
        <f aca="false">E1170-F1170</f>
        <v>1146</v>
      </c>
      <c r="K1170" s="10" t="str">
        <f aca="false">IF(G1170&lt;0.2,"0-19%",IF(G1170&lt;0.4,"20-39%",IF(G1170&lt;0.6,"40-59%",IF(G1170&lt;0.8,"60-79%","80%+"))))</f>
        <v>40-59%</v>
      </c>
      <c r="L1170" s="10" t="str">
        <f aca="false">IF(H1170="","No rating",IF(H1170&lt;3.5,"Below 3.5",IF(H1170&lt;4,"3.5-3.9",IF(H1170&lt;4.5,"4.0-4.4","4.5+"))))</f>
        <v>3.5-3.9</v>
      </c>
    </row>
    <row r="1171" customFormat="false" ht="15" hidden="false" customHeight="false" outlineLevel="0" collapsed="false">
      <c r="A1171" s="10" t="s">
        <v>2377</v>
      </c>
      <c r="B1171" s="10" t="s">
        <v>2378</v>
      </c>
      <c r="C1171" s="10" t="s">
        <v>1181</v>
      </c>
      <c r="D1171" s="10" t="s">
        <v>1854</v>
      </c>
      <c r="E1171" s="11" t="n">
        <v>3500</v>
      </c>
      <c r="F1171" s="11" t="n">
        <v>1499</v>
      </c>
      <c r="G1171" s="12" t="n">
        <v>0.57</v>
      </c>
      <c r="H1171" s="13" t="n">
        <v>4.1</v>
      </c>
      <c r="I1171" s="11" t="n">
        <v>303</v>
      </c>
      <c r="J1171" s="11" t="n">
        <f aca="false">E1171-F1171</f>
        <v>2001</v>
      </c>
      <c r="K1171" s="10" t="str">
        <f aca="false">IF(G1171&lt;0.2,"0-19%",IF(G1171&lt;0.4,"20-39%",IF(G1171&lt;0.6,"40-59%",IF(G1171&lt;0.8,"60-79%","80%+"))))</f>
        <v>40-59%</v>
      </c>
      <c r="L1171" s="10" t="str">
        <f aca="false">IF(H1171="","No rating",IF(H1171&lt;3.5,"Below 3.5",IF(H1171&lt;4,"3.5-3.9",IF(H1171&lt;4.5,"4.0-4.4","4.5+"))))</f>
        <v>4.0-4.4</v>
      </c>
    </row>
    <row r="1172" customFormat="false" ht="15" hidden="false" customHeight="false" outlineLevel="0" collapsed="false">
      <c r="A1172" s="10" t="s">
        <v>2379</v>
      </c>
      <c r="B1172" s="10" t="s">
        <v>2380</v>
      </c>
      <c r="C1172" s="10" t="s">
        <v>1181</v>
      </c>
      <c r="D1172" s="10" t="s">
        <v>1851</v>
      </c>
      <c r="E1172" s="11" t="n">
        <v>4600</v>
      </c>
      <c r="F1172" s="11" t="n">
        <v>2092</v>
      </c>
      <c r="G1172" s="12" t="n">
        <v>0.55</v>
      </c>
      <c r="H1172" s="13" t="n">
        <v>4.3</v>
      </c>
      <c r="I1172" s="11" t="n">
        <v>562</v>
      </c>
      <c r="J1172" s="11" t="n">
        <f aca="false">E1172-F1172</f>
        <v>2508</v>
      </c>
      <c r="K1172" s="10" t="str">
        <f aca="false">IF(G1172&lt;0.2,"0-19%",IF(G1172&lt;0.4,"20-39%",IF(G1172&lt;0.6,"40-59%",IF(G1172&lt;0.8,"60-79%","80%+"))))</f>
        <v>40-59%</v>
      </c>
      <c r="L1172" s="10" t="str">
        <f aca="false">IF(H1172="","No rating",IF(H1172&lt;3.5,"Below 3.5",IF(H1172&lt;4,"3.5-3.9",IF(H1172&lt;4.5,"4.0-4.4","4.5+"))))</f>
        <v>4.0-4.4</v>
      </c>
    </row>
    <row r="1173" customFormat="false" ht="15" hidden="false" customHeight="false" outlineLevel="0" collapsed="false">
      <c r="A1173" s="10" t="s">
        <v>2381</v>
      </c>
      <c r="B1173" s="10" t="s">
        <v>2382</v>
      </c>
      <c r="C1173" s="10" t="s">
        <v>1181</v>
      </c>
      <c r="D1173" s="10" t="s">
        <v>1851</v>
      </c>
      <c r="E1173" s="11" t="n">
        <v>10295</v>
      </c>
      <c r="F1173" s="11" t="n">
        <v>3859</v>
      </c>
      <c r="G1173" s="12" t="n">
        <v>0.63</v>
      </c>
      <c r="H1173" s="13" t="n">
        <v>3.9</v>
      </c>
      <c r="I1173" s="11" t="n">
        <v>8095</v>
      </c>
      <c r="J1173" s="11" t="n">
        <f aca="false">E1173-F1173</f>
        <v>6436</v>
      </c>
      <c r="K1173" s="10" t="str">
        <f aca="false">IF(G1173&lt;0.2,"0-19%",IF(G1173&lt;0.4,"20-39%",IF(G1173&lt;0.6,"40-59%",IF(G1173&lt;0.8,"60-79%","80%+"))))</f>
        <v>60-79%</v>
      </c>
      <c r="L1173" s="10" t="str">
        <f aca="false">IF(H1173="","No rating",IF(H1173&lt;3.5,"Below 3.5",IF(H1173&lt;4,"3.5-3.9",IF(H1173&lt;4.5,"4.0-4.4","4.5+"))))</f>
        <v>3.5-3.9</v>
      </c>
    </row>
    <row r="1174" customFormat="false" ht="15" hidden="false" customHeight="false" outlineLevel="0" collapsed="false">
      <c r="A1174" s="10" t="s">
        <v>2383</v>
      </c>
      <c r="B1174" s="10" t="s">
        <v>2384</v>
      </c>
      <c r="C1174" s="10" t="s">
        <v>1181</v>
      </c>
      <c r="D1174" s="10" t="s">
        <v>1851</v>
      </c>
      <c r="E1174" s="11" t="n">
        <v>2199</v>
      </c>
      <c r="F1174" s="11" t="n">
        <v>499</v>
      </c>
      <c r="G1174" s="12" t="n">
        <v>0.77</v>
      </c>
      <c r="H1174" s="13" t="n">
        <v>2.8</v>
      </c>
      <c r="I1174" s="11" t="n">
        <v>109</v>
      </c>
      <c r="J1174" s="11" t="n">
        <f aca="false">E1174-F1174</f>
        <v>1700</v>
      </c>
      <c r="K1174" s="10" t="str">
        <f aca="false">IF(G1174&lt;0.2,"0-19%",IF(G1174&lt;0.4,"20-39%",IF(G1174&lt;0.6,"40-59%",IF(G1174&lt;0.8,"60-79%","80%+"))))</f>
        <v>60-79%</v>
      </c>
      <c r="L1174" s="10" t="str">
        <f aca="false">IF(H1174="","No rating",IF(H1174&lt;3.5,"Below 3.5",IF(H1174&lt;4,"3.5-3.9",IF(H1174&lt;4.5,"4.0-4.4","4.5+"))))</f>
        <v>Below 3.5</v>
      </c>
    </row>
    <row r="1175" customFormat="false" ht="15" hidden="false" customHeight="false" outlineLevel="0" collapsed="false">
      <c r="A1175" s="10" t="s">
        <v>2385</v>
      </c>
      <c r="B1175" s="10" t="s">
        <v>2386</v>
      </c>
      <c r="C1175" s="10" t="s">
        <v>1181</v>
      </c>
      <c r="D1175" s="10" t="s">
        <v>1854</v>
      </c>
      <c r="E1175" s="11" t="n">
        <v>2380</v>
      </c>
      <c r="F1175" s="11" t="n">
        <v>1804</v>
      </c>
      <c r="G1175" s="12" t="n">
        <v>0.24</v>
      </c>
      <c r="H1175" s="13" t="n">
        <v>4</v>
      </c>
      <c r="I1175" s="11" t="n">
        <v>15382</v>
      </c>
      <c r="J1175" s="11" t="n">
        <f aca="false">E1175-F1175</f>
        <v>576</v>
      </c>
      <c r="K1175" s="10" t="str">
        <f aca="false">IF(G1175&lt;0.2,"0-19%",IF(G1175&lt;0.4,"20-39%",IF(G1175&lt;0.6,"40-59%",IF(G1175&lt;0.8,"60-79%","80%+"))))</f>
        <v>20-39%</v>
      </c>
      <c r="L1175" s="10" t="str">
        <f aca="false">IF(H1175="","No rating",IF(H1175&lt;3.5,"Below 3.5",IF(H1175&lt;4,"3.5-3.9",IF(H1175&lt;4.5,"4.0-4.4","4.5+"))))</f>
        <v>4.0-4.4</v>
      </c>
    </row>
    <row r="1176" customFormat="false" ht="15" hidden="false" customHeight="false" outlineLevel="0" collapsed="false">
      <c r="A1176" s="10" t="s">
        <v>2387</v>
      </c>
      <c r="B1176" s="10" t="s">
        <v>2388</v>
      </c>
      <c r="C1176" s="10" t="s">
        <v>1181</v>
      </c>
      <c r="D1176" s="10" t="s">
        <v>1851</v>
      </c>
      <c r="E1176" s="11" t="n">
        <v>8820</v>
      </c>
      <c r="F1176" s="11" t="n">
        <v>6525</v>
      </c>
      <c r="G1176" s="12" t="n">
        <v>0.26</v>
      </c>
      <c r="H1176" s="13" t="n">
        <v>4.5</v>
      </c>
      <c r="I1176" s="11" t="n">
        <v>5137</v>
      </c>
      <c r="J1176" s="11" t="n">
        <f aca="false">E1176-F1176</f>
        <v>2295</v>
      </c>
      <c r="K1176" s="10" t="str">
        <f aca="false">IF(G1176&lt;0.2,"0-19%",IF(G1176&lt;0.4,"20-39%",IF(G1176&lt;0.6,"40-59%",IF(G1176&lt;0.8,"60-79%","80%+"))))</f>
        <v>20-39%</v>
      </c>
      <c r="L1176" s="10" t="str">
        <f aca="false">IF(H1176="","No rating",IF(H1176&lt;3.5,"Below 3.5",IF(H1176&lt;4,"3.5-3.9",IF(H1176&lt;4.5,"4.0-4.4","4.5+"))))</f>
        <v>4.5+</v>
      </c>
    </row>
    <row r="1177" customFormat="false" ht="15" hidden="false" customHeight="false" outlineLevel="0" collapsed="false">
      <c r="A1177" s="10" t="s">
        <v>2389</v>
      </c>
      <c r="B1177" s="10" t="s">
        <v>2390</v>
      </c>
      <c r="C1177" s="10" t="s">
        <v>1181</v>
      </c>
      <c r="D1177" s="10" t="s">
        <v>1851</v>
      </c>
      <c r="E1177" s="11" t="n">
        <v>24999</v>
      </c>
      <c r="F1177" s="11" t="n">
        <v>4999</v>
      </c>
      <c r="G1177" s="12" t="n">
        <v>0.8</v>
      </c>
      <c r="H1177" s="13" t="n">
        <v>4.6</v>
      </c>
      <c r="I1177" s="11" t="n">
        <v>124</v>
      </c>
      <c r="J1177" s="11" t="n">
        <f aca="false">E1177-F1177</f>
        <v>20000</v>
      </c>
      <c r="K1177" s="10" t="str">
        <f aca="false">IF(G1177&lt;0.2,"0-19%",IF(G1177&lt;0.4,"20-39%",IF(G1177&lt;0.6,"40-59%",IF(G1177&lt;0.8,"60-79%","80%+"))))</f>
        <v>80%+</v>
      </c>
      <c r="L1177" s="10" t="str">
        <f aca="false">IF(H1177="","No rating",IF(H1177&lt;3.5,"Below 3.5",IF(H1177&lt;4,"3.5-3.9",IF(H1177&lt;4.5,"4.0-4.4","4.5+"))))</f>
        <v>4.5+</v>
      </c>
    </row>
    <row r="1178" customFormat="false" ht="15" hidden="false" customHeight="false" outlineLevel="0" collapsed="false">
      <c r="A1178" s="10" t="s">
        <v>2391</v>
      </c>
      <c r="B1178" s="10" t="s">
        <v>2392</v>
      </c>
      <c r="C1178" s="10" t="s">
        <v>1181</v>
      </c>
      <c r="D1178" s="10" t="s">
        <v>1851</v>
      </c>
      <c r="E1178" s="11" t="n">
        <v>2400</v>
      </c>
      <c r="F1178" s="11" t="n">
        <v>1189</v>
      </c>
      <c r="G1178" s="12" t="n">
        <v>0.5</v>
      </c>
      <c r="H1178" s="13" t="n">
        <v>4.1</v>
      </c>
      <c r="I1178" s="11" t="n">
        <v>618</v>
      </c>
      <c r="J1178" s="11" t="n">
        <f aca="false">E1178-F1178</f>
        <v>1211</v>
      </c>
      <c r="K1178" s="10" t="str">
        <f aca="false">IF(G1178&lt;0.2,"0-19%",IF(G1178&lt;0.4,"20-39%",IF(G1178&lt;0.6,"40-59%",IF(G1178&lt;0.8,"60-79%","80%+"))))</f>
        <v>40-59%</v>
      </c>
      <c r="L1178" s="10" t="str">
        <f aca="false">IF(H1178="","No rating",IF(H1178&lt;3.5,"Below 3.5",IF(H1178&lt;4,"3.5-3.9",IF(H1178&lt;4.5,"4.0-4.4","4.5+"))))</f>
        <v>4.0-4.4</v>
      </c>
    </row>
    <row r="1179" customFormat="false" ht="15" hidden="false" customHeight="false" outlineLevel="0" collapsed="false">
      <c r="A1179" s="10" t="s">
        <v>2393</v>
      </c>
      <c r="B1179" s="10" t="s">
        <v>2394</v>
      </c>
      <c r="C1179" s="10" t="s">
        <v>1181</v>
      </c>
      <c r="D1179" s="10" t="s">
        <v>1854</v>
      </c>
      <c r="E1179" s="11" t="n">
        <v>4200</v>
      </c>
      <c r="F1179" s="11" t="n">
        <v>2590</v>
      </c>
      <c r="G1179" s="12" t="n">
        <v>0.38</v>
      </c>
      <c r="H1179" s="13" t="n">
        <v>4.1</v>
      </c>
      <c r="I1179" s="11" t="n">
        <v>63</v>
      </c>
      <c r="J1179" s="11" t="n">
        <f aca="false">E1179-F1179</f>
        <v>1610</v>
      </c>
      <c r="K1179" s="10" t="str">
        <f aca="false">IF(G1179&lt;0.2,"0-19%",IF(G1179&lt;0.4,"20-39%",IF(G1179&lt;0.6,"40-59%",IF(G1179&lt;0.8,"60-79%","80%+"))))</f>
        <v>20-39%</v>
      </c>
      <c r="L1179" s="10" t="str">
        <f aca="false">IF(H1179="","No rating",IF(H1179&lt;3.5,"Below 3.5",IF(H1179&lt;4,"3.5-3.9",IF(H1179&lt;4.5,"4.0-4.4","4.5+"))))</f>
        <v>4.0-4.4</v>
      </c>
    </row>
    <row r="1180" customFormat="false" ht="15" hidden="false" customHeight="false" outlineLevel="0" collapsed="false">
      <c r="A1180" s="10" t="s">
        <v>2395</v>
      </c>
      <c r="B1180" s="10" t="s">
        <v>2396</v>
      </c>
      <c r="C1180" s="10" t="s">
        <v>1181</v>
      </c>
      <c r="D1180" s="10" t="s">
        <v>1854</v>
      </c>
      <c r="E1180" s="11" t="n">
        <v>1599</v>
      </c>
      <c r="F1180" s="11" t="n">
        <v>899</v>
      </c>
      <c r="G1180" s="12" t="n">
        <v>0.44</v>
      </c>
      <c r="H1180" s="13" t="n">
        <v>3.4</v>
      </c>
      <c r="I1180" s="11" t="n">
        <v>15</v>
      </c>
      <c r="J1180" s="11" t="n">
        <f aca="false">E1180-F1180</f>
        <v>700</v>
      </c>
      <c r="K1180" s="10" t="str">
        <f aca="false">IF(G1180&lt;0.2,"0-19%",IF(G1180&lt;0.4,"20-39%",IF(G1180&lt;0.6,"40-59%",IF(G1180&lt;0.8,"60-79%","80%+"))))</f>
        <v>40-59%</v>
      </c>
      <c r="L1180" s="10" t="str">
        <f aca="false">IF(H1180="","No rating",IF(H1180&lt;3.5,"Below 3.5",IF(H1180&lt;4,"3.5-3.9",IF(H1180&lt;4.5,"4.0-4.4","4.5+"))))</f>
        <v>Below 3.5</v>
      </c>
    </row>
    <row r="1181" customFormat="false" ht="15" hidden="false" customHeight="false" outlineLevel="0" collapsed="false">
      <c r="A1181" s="10" t="s">
        <v>2397</v>
      </c>
      <c r="B1181" s="10" t="s">
        <v>2398</v>
      </c>
      <c r="C1181" s="10" t="s">
        <v>1181</v>
      </c>
      <c r="D1181" s="10" t="s">
        <v>1854</v>
      </c>
      <c r="E1181" s="11" t="n">
        <v>2999</v>
      </c>
      <c r="F1181" s="11" t="n">
        <v>998</v>
      </c>
      <c r="G1181" s="12" t="n">
        <v>0.67</v>
      </c>
      <c r="H1181" s="13" t="n">
        <v>4.6</v>
      </c>
      <c r="I1181" s="11" t="n">
        <v>9</v>
      </c>
      <c r="J1181" s="11" t="n">
        <f aca="false">E1181-F1181</f>
        <v>2001</v>
      </c>
      <c r="K1181" s="10" t="str">
        <f aca="false">IF(G1181&lt;0.2,"0-19%",IF(G1181&lt;0.4,"20-39%",IF(G1181&lt;0.6,"40-59%",IF(G1181&lt;0.8,"60-79%","80%+"))))</f>
        <v>60-79%</v>
      </c>
      <c r="L1181" s="10" t="str">
        <f aca="false">IF(H1181="","No rating",IF(H1181&lt;3.5,"Below 3.5",IF(H1181&lt;4,"3.5-3.9",IF(H1181&lt;4.5,"4.0-4.4","4.5+"))))</f>
        <v>4.5+</v>
      </c>
    </row>
    <row r="1182" customFormat="false" ht="15" hidden="false" customHeight="false" outlineLevel="0" collapsed="false">
      <c r="A1182" s="10" t="s">
        <v>2399</v>
      </c>
      <c r="B1182" s="10" t="s">
        <v>2400</v>
      </c>
      <c r="C1182" s="10" t="s">
        <v>1181</v>
      </c>
      <c r="D1182" s="10" t="s">
        <v>1920</v>
      </c>
      <c r="E1182" s="11" t="n">
        <v>1282</v>
      </c>
      <c r="F1182" s="11" t="n">
        <v>998.06</v>
      </c>
      <c r="G1182" s="12" t="n">
        <v>0.22</v>
      </c>
      <c r="H1182" s="13" t="n">
        <v>4.2</v>
      </c>
      <c r="I1182" s="11" t="n">
        <v>7274</v>
      </c>
      <c r="J1182" s="11" t="n">
        <f aca="false">E1182-F1182</f>
        <v>283.94</v>
      </c>
      <c r="K1182" s="10" t="str">
        <f aca="false">IF(G1182&lt;0.2,"0-19%",IF(G1182&lt;0.4,"20-39%",IF(G1182&lt;0.6,"40-59%",IF(G1182&lt;0.8,"60-79%","80%+"))))</f>
        <v>20-39%</v>
      </c>
      <c r="L1182" s="10" t="str">
        <f aca="false">IF(H1182="","No rating",IF(H1182&lt;3.5,"Below 3.5",IF(H1182&lt;4,"3.5-3.9",IF(H1182&lt;4.5,"4.0-4.4","4.5+"))))</f>
        <v>4.0-4.4</v>
      </c>
    </row>
    <row r="1183" customFormat="false" ht="15" hidden="false" customHeight="false" outlineLevel="0" collapsed="false">
      <c r="A1183" s="10" t="s">
        <v>2401</v>
      </c>
      <c r="B1183" s="10" t="s">
        <v>2402</v>
      </c>
      <c r="C1183" s="10" t="s">
        <v>1181</v>
      </c>
      <c r="D1183" s="10" t="s">
        <v>1854</v>
      </c>
      <c r="E1183" s="11" t="n">
        <v>1990</v>
      </c>
      <c r="F1183" s="11" t="n">
        <v>1099</v>
      </c>
      <c r="G1183" s="12" t="n">
        <v>0.45</v>
      </c>
      <c r="H1183" s="13" t="n">
        <v>3.9</v>
      </c>
      <c r="I1183" s="11" t="n">
        <v>5911</v>
      </c>
      <c r="J1183" s="11" t="n">
        <f aca="false">E1183-F1183</f>
        <v>891</v>
      </c>
      <c r="K1183" s="10" t="str">
        <f aca="false">IF(G1183&lt;0.2,"0-19%",IF(G1183&lt;0.4,"20-39%",IF(G1183&lt;0.6,"40-59%",IF(G1183&lt;0.8,"60-79%","80%+"))))</f>
        <v>40-59%</v>
      </c>
      <c r="L1183" s="10" t="str">
        <f aca="false">IF(H1183="","No rating",IF(H1183&lt;3.5,"Below 3.5",IF(H1183&lt;4,"3.5-3.9",IF(H1183&lt;4.5,"4.0-4.4","4.5+"))))</f>
        <v>3.5-3.9</v>
      </c>
    </row>
    <row r="1184" customFormat="false" ht="15" hidden="false" customHeight="false" outlineLevel="0" collapsed="false">
      <c r="A1184" s="10" t="s">
        <v>2403</v>
      </c>
      <c r="B1184" s="10" t="s">
        <v>2404</v>
      </c>
      <c r="C1184" s="10" t="s">
        <v>1181</v>
      </c>
      <c r="D1184" s="10" t="s">
        <v>1851</v>
      </c>
      <c r="E1184" s="11" t="n">
        <v>9999</v>
      </c>
      <c r="F1184" s="11" t="n">
        <v>5999</v>
      </c>
      <c r="G1184" s="12" t="n">
        <v>0.4</v>
      </c>
      <c r="H1184" s="13" t="n">
        <v>4.2</v>
      </c>
      <c r="I1184" s="11" t="n">
        <v>170</v>
      </c>
      <c r="J1184" s="11" t="n">
        <f aca="false">E1184-F1184</f>
        <v>4000</v>
      </c>
      <c r="K1184" s="10" t="str">
        <f aca="false">IF(G1184&lt;0.2,"0-19%",IF(G1184&lt;0.4,"20-39%",IF(G1184&lt;0.6,"40-59%",IF(G1184&lt;0.8,"60-79%","80%+"))))</f>
        <v>40-59%</v>
      </c>
      <c r="L1184" s="10" t="str">
        <f aca="false">IF(H1184="","No rating",IF(H1184&lt;3.5,"Below 3.5",IF(H1184&lt;4,"3.5-3.9",IF(H1184&lt;4.5,"4.0-4.4","4.5+"))))</f>
        <v>4.0-4.4</v>
      </c>
    </row>
    <row r="1185" customFormat="false" ht="15" hidden="false" customHeight="false" outlineLevel="0" collapsed="false">
      <c r="A1185" s="10" t="s">
        <v>2405</v>
      </c>
      <c r="B1185" s="10" t="s">
        <v>2406</v>
      </c>
      <c r="C1185" s="10" t="s">
        <v>1181</v>
      </c>
      <c r="D1185" s="10" t="s">
        <v>1851</v>
      </c>
      <c r="E1185" s="11" t="n">
        <v>11850</v>
      </c>
      <c r="F1185" s="11" t="n">
        <v>8886</v>
      </c>
      <c r="G1185" s="12" t="n">
        <v>0.25</v>
      </c>
      <c r="H1185" s="13" t="n">
        <v>4.2</v>
      </c>
      <c r="I1185" s="11" t="n">
        <v>3065</v>
      </c>
      <c r="J1185" s="11" t="n">
        <f aca="false">E1185-F1185</f>
        <v>2964</v>
      </c>
      <c r="K1185" s="10" t="str">
        <f aca="false">IF(G1185&lt;0.2,"0-19%",IF(G1185&lt;0.4,"20-39%",IF(G1185&lt;0.6,"40-59%",IF(G1185&lt;0.8,"60-79%","80%+"))))</f>
        <v>20-39%</v>
      </c>
      <c r="L1185" s="10" t="str">
        <f aca="false">IF(H1185="","No rating",IF(H1185&lt;3.5,"Below 3.5",IF(H1185&lt;4,"3.5-3.9",IF(H1185&lt;4.5,"4.0-4.4","4.5+"))))</f>
        <v>4.0-4.4</v>
      </c>
    </row>
    <row r="1186" customFormat="false" ht="15" hidden="false" customHeight="false" outlineLevel="0" collapsed="false">
      <c r="A1186" s="10" t="s">
        <v>2407</v>
      </c>
      <c r="B1186" s="10" t="s">
        <v>2408</v>
      </c>
      <c r="C1186" s="10" t="s">
        <v>1181</v>
      </c>
      <c r="D1186" s="10" t="s">
        <v>1851</v>
      </c>
      <c r="E1186" s="11" t="n">
        <v>999</v>
      </c>
      <c r="F1186" s="11" t="n">
        <v>475</v>
      </c>
      <c r="G1186" s="12" t="n">
        <v>0.52</v>
      </c>
      <c r="H1186" s="13" t="n">
        <v>4.1</v>
      </c>
      <c r="I1186" s="11" t="n">
        <v>1021</v>
      </c>
      <c r="J1186" s="11" t="n">
        <f aca="false">E1186-F1186</f>
        <v>524</v>
      </c>
      <c r="K1186" s="10" t="str">
        <f aca="false">IF(G1186&lt;0.2,"0-19%",IF(G1186&lt;0.4,"20-39%",IF(G1186&lt;0.6,"40-59%",IF(G1186&lt;0.8,"60-79%","80%+"))))</f>
        <v>40-59%</v>
      </c>
      <c r="L1186" s="10" t="str">
        <f aca="false">IF(H1186="","No rating",IF(H1186&lt;3.5,"Below 3.5",IF(H1186&lt;4,"3.5-3.9",IF(H1186&lt;4.5,"4.0-4.4","4.5+"))))</f>
        <v>4.0-4.4</v>
      </c>
    </row>
    <row r="1187" customFormat="false" ht="15" hidden="false" customHeight="false" outlineLevel="0" collapsed="false">
      <c r="A1187" s="10" t="s">
        <v>2409</v>
      </c>
      <c r="B1187" s="10" t="s">
        <v>2410</v>
      </c>
      <c r="C1187" s="10" t="s">
        <v>1181</v>
      </c>
      <c r="D1187" s="10" t="s">
        <v>1851</v>
      </c>
      <c r="E1187" s="11" t="n">
        <v>20049</v>
      </c>
      <c r="F1187" s="11" t="n">
        <v>4995</v>
      </c>
      <c r="G1187" s="12" t="n">
        <v>0.75</v>
      </c>
      <c r="H1187" s="13" t="n">
        <v>4.8</v>
      </c>
      <c r="I1187" s="11" t="n">
        <v>3964</v>
      </c>
      <c r="J1187" s="11" t="n">
        <f aca="false">E1187-F1187</f>
        <v>15054</v>
      </c>
      <c r="K1187" s="10" t="str">
        <f aca="false">IF(G1187&lt;0.2,"0-19%",IF(G1187&lt;0.4,"20-39%",IF(G1187&lt;0.6,"40-59%",IF(G1187&lt;0.8,"60-79%","80%+"))))</f>
        <v>60-79%</v>
      </c>
      <c r="L1187" s="10" t="str">
        <f aca="false">IF(H1187="","No rating",IF(H1187&lt;3.5,"Below 3.5",IF(H1187&lt;4,"3.5-3.9",IF(H1187&lt;4.5,"4.0-4.4","4.5+"))))</f>
        <v>4.5+</v>
      </c>
    </row>
    <row r="1188" customFormat="false" ht="15" hidden="false" customHeight="false" outlineLevel="0" collapsed="false">
      <c r="A1188" s="10" t="s">
        <v>2411</v>
      </c>
      <c r="B1188" s="10" t="s">
        <v>2412</v>
      </c>
      <c r="C1188" s="10" t="s">
        <v>1181</v>
      </c>
      <c r="D1188" s="10" t="s">
        <v>1851</v>
      </c>
      <c r="E1188" s="11" t="n">
        <v>24850</v>
      </c>
      <c r="F1188" s="11" t="n">
        <v>13999</v>
      </c>
      <c r="G1188" s="12" t="n">
        <v>0.44</v>
      </c>
      <c r="H1188" s="13" t="n">
        <v>4.4</v>
      </c>
      <c r="I1188" s="11" t="n">
        <v>8948</v>
      </c>
      <c r="J1188" s="11" t="n">
        <f aca="false">E1188-F1188</f>
        <v>10851</v>
      </c>
      <c r="K1188" s="10" t="str">
        <f aca="false">IF(G1188&lt;0.2,"0-19%",IF(G1188&lt;0.4,"20-39%",IF(G1188&lt;0.6,"40-59%",IF(G1188&lt;0.8,"60-79%","80%+"))))</f>
        <v>40-59%</v>
      </c>
      <c r="L1188" s="10" t="str">
        <f aca="false">IF(H1188="","No rating",IF(H1188&lt;3.5,"Below 3.5",IF(H1188&lt;4,"3.5-3.9",IF(H1188&lt;4.5,"4.0-4.4","4.5+"))))</f>
        <v>4.0-4.4</v>
      </c>
    </row>
    <row r="1189" customFormat="false" ht="15" hidden="false" customHeight="false" outlineLevel="0" collapsed="false">
      <c r="A1189" s="10" t="s">
        <v>2413</v>
      </c>
      <c r="B1189" s="10" t="s">
        <v>2414</v>
      </c>
      <c r="C1189" s="10" t="s">
        <v>1181</v>
      </c>
      <c r="D1189" s="10" t="s">
        <v>1851</v>
      </c>
      <c r="E1189" s="11" t="n">
        <v>16490</v>
      </c>
      <c r="F1189" s="11" t="n">
        <v>8499</v>
      </c>
      <c r="G1189" s="12" t="n">
        <v>0.48</v>
      </c>
      <c r="H1189" s="13" t="n">
        <v>4.3</v>
      </c>
      <c r="I1189" s="11" t="n">
        <v>97</v>
      </c>
      <c r="J1189" s="11" t="n">
        <f aca="false">E1189-F1189</f>
        <v>7991</v>
      </c>
      <c r="K1189" s="10" t="str">
        <f aca="false">IF(G1189&lt;0.2,"0-19%",IF(G1189&lt;0.4,"20-39%",IF(G1189&lt;0.6,"40-59%",IF(G1189&lt;0.8,"60-79%","80%+"))))</f>
        <v>40-59%</v>
      </c>
      <c r="L1189" s="10" t="str">
        <f aca="false">IF(H1189="","No rating",IF(H1189&lt;3.5,"Below 3.5",IF(H1189&lt;4,"3.5-3.9",IF(H1189&lt;4.5,"4.0-4.4","4.5+"))))</f>
        <v>4.0-4.4</v>
      </c>
    </row>
    <row r="1190" customFormat="false" ht="15" hidden="false" customHeight="false" outlineLevel="0" collapsed="false">
      <c r="A1190" s="10" t="s">
        <v>2415</v>
      </c>
      <c r="B1190" s="10" t="s">
        <v>2416</v>
      </c>
      <c r="C1190" s="10" t="s">
        <v>1181</v>
      </c>
      <c r="D1190" s="10" t="s">
        <v>1851</v>
      </c>
      <c r="E1190" s="11" t="n">
        <v>975</v>
      </c>
      <c r="F1190" s="11" t="n">
        <v>949</v>
      </c>
      <c r="G1190" s="12" t="n">
        <v>0.03</v>
      </c>
      <c r="H1190" s="13" t="n">
        <v>4.3</v>
      </c>
      <c r="I1190" s="11" t="n">
        <v>7223</v>
      </c>
      <c r="J1190" s="11" t="n">
        <f aca="false">E1190-F1190</f>
        <v>26</v>
      </c>
      <c r="K1190" s="10" t="str">
        <f aca="false">IF(G1190&lt;0.2,"0-19%",IF(G1190&lt;0.4,"20-39%",IF(G1190&lt;0.6,"40-59%",IF(G1190&lt;0.8,"60-79%","80%+"))))</f>
        <v>0-19%</v>
      </c>
      <c r="L1190" s="10" t="str">
        <f aca="false">IF(H1190="","No rating",IF(H1190&lt;3.5,"Below 3.5",IF(H1190&lt;4,"3.5-3.9",IF(H1190&lt;4.5,"4.0-4.4","4.5+"))))</f>
        <v>4.0-4.4</v>
      </c>
    </row>
    <row r="1191" customFormat="false" ht="15" hidden="false" customHeight="false" outlineLevel="0" collapsed="false">
      <c r="A1191" s="10" t="s">
        <v>2417</v>
      </c>
      <c r="B1191" s="10" t="s">
        <v>2418</v>
      </c>
      <c r="C1191" s="10" t="s">
        <v>1181</v>
      </c>
      <c r="D1191" s="10" t="s">
        <v>1920</v>
      </c>
      <c r="E1191" s="11" t="n">
        <v>499</v>
      </c>
      <c r="F1191" s="11" t="n">
        <v>395</v>
      </c>
      <c r="G1191" s="12" t="n">
        <v>0.21</v>
      </c>
      <c r="H1191" s="13" t="n">
        <v>4</v>
      </c>
      <c r="I1191" s="11" t="n">
        <v>330</v>
      </c>
      <c r="J1191" s="11" t="n">
        <f aca="false">E1191-F1191</f>
        <v>104</v>
      </c>
      <c r="K1191" s="10" t="str">
        <f aca="false">IF(G1191&lt;0.2,"0-19%",IF(G1191&lt;0.4,"20-39%",IF(G1191&lt;0.6,"40-59%",IF(G1191&lt;0.8,"60-79%","80%+"))))</f>
        <v>20-39%</v>
      </c>
      <c r="L1191" s="10" t="str">
        <f aca="false">IF(H1191="","No rating",IF(H1191&lt;3.5,"Below 3.5",IF(H1191&lt;4,"3.5-3.9",IF(H1191&lt;4.5,"4.0-4.4","4.5+"))))</f>
        <v>4.0-4.4</v>
      </c>
    </row>
    <row r="1192" customFormat="false" ht="15" hidden="false" customHeight="false" outlineLevel="0" collapsed="false">
      <c r="A1192" s="10" t="s">
        <v>2419</v>
      </c>
      <c r="B1192" s="10" t="s">
        <v>2420</v>
      </c>
      <c r="C1192" s="10" t="s">
        <v>1181</v>
      </c>
      <c r="D1192" s="10" t="s">
        <v>1851</v>
      </c>
      <c r="E1192" s="11" t="n">
        <v>635</v>
      </c>
      <c r="F1192" s="11" t="n">
        <v>635</v>
      </c>
      <c r="G1192" s="12" t="n">
        <v>0</v>
      </c>
      <c r="H1192" s="13" t="n">
        <v>4.3</v>
      </c>
      <c r="I1192" s="11" t="n">
        <v>4570</v>
      </c>
      <c r="J1192" s="11" t="n">
        <f aca="false">E1192-F1192</f>
        <v>0</v>
      </c>
      <c r="K1192" s="10" t="str">
        <f aca="false">IF(G1192&lt;0.2,"0-19%",IF(G1192&lt;0.4,"20-39%",IF(G1192&lt;0.6,"40-59%",IF(G1192&lt;0.8,"60-79%","80%+"))))</f>
        <v>0-19%</v>
      </c>
      <c r="L1192" s="10" t="str">
        <f aca="false">IF(H1192="","No rating",IF(H1192&lt;3.5,"Below 3.5",IF(H1192&lt;4,"3.5-3.9",IF(H1192&lt;4.5,"4.0-4.4","4.5+"))))</f>
        <v>4.0-4.4</v>
      </c>
    </row>
    <row r="1193" customFormat="false" ht="15" hidden="false" customHeight="false" outlineLevel="0" collapsed="false">
      <c r="A1193" s="10" t="s">
        <v>2421</v>
      </c>
      <c r="B1193" s="10" t="s">
        <v>2422</v>
      </c>
      <c r="C1193" s="10" t="s">
        <v>1181</v>
      </c>
      <c r="D1193" s="10" t="s">
        <v>1851</v>
      </c>
      <c r="E1193" s="11" t="n">
        <v>1390</v>
      </c>
      <c r="F1193" s="11" t="n">
        <v>717</v>
      </c>
      <c r="G1193" s="12" t="n">
        <v>0.48</v>
      </c>
      <c r="H1193" s="13" t="n">
        <v>4</v>
      </c>
      <c r="I1193" s="11" t="n">
        <v>4867</v>
      </c>
      <c r="J1193" s="11" t="n">
        <f aca="false">E1193-F1193</f>
        <v>673</v>
      </c>
      <c r="K1193" s="10" t="str">
        <f aca="false">IF(G1193&lt;0.2,"0-19%",IF(G1193&lt;0.4,"20-39%",IF(G1193&lt;0.6,"40-59%",IF(G1193&lt;0.8,"60-79%","80%+"))))</f>
        <v>40-59%</v>
      </c>
      <c r="L1193" s="10" t="str">
        <f aca="false">IF(H1193="","No rating",IF(H1193&lt;3.5,"Below 3.5",IF(H1193&lt;4,"3.5-3.9",IF(H1193&lt;4.5,"4.0-4.4","4.5+"))))</f>
        <v>4.0-4.4</v>
      </c>
    </row>
    <row r="1194" customFormat="false" ht="15" hidden="false" customHeight="false" outlineLevel="0" collapsed="false">
      <c r="A1194" s="10" t="s">
        <v>2423</v>
      </c>
      <c r="B1194" s="10" t="s">
        <v>2424</v>
      </c>
      <c r="C1194" s="10" t="s">
        <v>1181</v>
      </c>
      <c r="D1194" s="10" t="s">
        <v>1851</v>
      </c>
      <c r="E1194" s="11" t="n">
        <v>59900</v>
      </c>
      <c r="F1194" s="11" t="n">
        <v>27900</v>
      </c>
      <c r="G1194" s="12" t="n">
        <v>0.53</v>
      </c>
      <c r="H1194" s="13" t="n">
        <v>4.4</v>
      </c>
      <c r="I1194" s="11" t="n">
        <v>5298</v>
      </c>
      <c r="J1194" s="11" t="n">
        <f aca="false">E1194-F1194</f>
        <v>32000</v>
      </c>
      <c r="K1194" s="10" t="str">
        <f aca="false">IF(G1194&lt;0.2,"0-19%",IF(G1194&lt;0.4,"20-39%",IF(G1194&lt;0.6,"40-59%",IF(G1194&lt;0.8,"60-79%","80%+"))))</f>
        <v>40-59%</v>
      </c>
      <c r="L1194" s="10" t="str">
        <f aca="false">IF(H1194="","No rating",IF(H1194&lt;3.5,"Below 3.5",IF(H1194&lt;4,"3.5-3.9",IF(H1194&lt;4.5,"4.0-4.4","4.5+"))))</f>
        <v>4.0-4.4</v>
      </c>
    </row>
    <row r="1195" customFormat="false" ht="15" hidden="false" customHeight="false" outlineLevel="0" collapsed="false">
      <c r="A1195" s="10" t="s">
        <v>2425</v>
      </c>
      <c r="B1195" s="10" t="s">
        <v>2426</v>
      </c>
      <c r="C1195" s="10" t="s">
        <v>1181</v>
      </c>
      <c r="D1195" s="10" t="s">
        <v>1851</v>
      </c>
      <c r="E1195" s="11" t="n">
        <v>670</v>
      </c>
      <c r="F1195" s="11" t="n">
        <v>649</v>
      </c>
      <c r="G1195" s="12" t="n">
        <v>0.03</v>
      </c>
      <c r="H1195" s="13" t="n">
        <v>4.1</v>
      </c>
      <c r="I1195" s="11" t="n">
        <v>7786</v>
      </c>
      <c r="J1195" s="11" t="n">
        <f aca="false">E1195-F1195</f>
        <v>21</v>
      </c>
      <c r="K1195" s="10" t="str">
        <f aca="false">IF(G1195&lt;0.2,"0-19%",IF(G1195&lt;0.4,"20-39%",IF(G1195&lt;0.6,"40-59%",IF(G1195&lt;0.8,"60-79%","80%+"))))</f>
        <v>0-19%</v>
      </c>
      <c r="L1195" s="10" t="str">
        <f aca="false">IF(H1195="","No rating",IF(H1195&lt;3.5,"Below 3.5",IF(H1195&lt;4,"3.5-3.9",IF(H1195&lt;4.5,"4.0-4.4","4.5+"))))</f>
        <v>4.0-4.4</v>
      </c>
    </row>
    <row r="1196" customFormat="false" ht="15" hidden="false" customHeight="false" outlineLevel="0" collapsed="false">
      <c r="A1196" s="10" t="s">
        <v>2427</v>
      </c>
      <c r="B1196" s="10" t="s">
        <v>2428</v>
      </c>
      <c r="C1196" s="10" t="s">
        <v>1181</v>
      </c>
      <c r="D1196" s="10" t="s">
        <v>1851</v>
      </c>
      <c r="E1196" s="11" t="n">
        <v>399</v>
      </c>
      <c r="F1196" s="11" t="n">
        <v>193</v>
      </c>
      <c r="G1196" s="12" t="n">
        <v>0.52</v>
      </c>
      <c r="H1196" s="13" t="n">
        <v>3.6</v>
      </c>
      <c r="I1196" s="11" t="n">
        <v>37</v>
      </c>
      <c r="J1196" s="11" t="n">
        <f aca="false">E1196-F1196</f>
        <v>206</v>
      </c>
      <c r="K1196" s="10" t="str">
        <f aca="false">IF(G1196&lt;0.2,"0-19%",IF(G1196&lt;0.4,"20-39%",IF(G1196&lt;0.6,"40-59%",IF(G1196&lt;0.8,"60-79%","80%+"))))</f>
        <v>40-59%</v>
      </c>
      <c r="L1196" s="10" t="str">
        <f aca="false">IF(H1196="","No rating",IF(H1196&lt;3.5,"Below 3.5",IF(H1196&lt;4,"3.5-3.9",IF(H1196&lt;4.5,"4.0-4.4","4.5+"))))</f>
        <v>3.5-3.9</v>
      </c>
    </row>
    <row r="1197" customFormat="false" ht="15" hidden="false" customHeight="false" outlineLevel="0" collapsed="false">
      <c r="A1197" s="10" t="s">
        <v>2429</v>
      </c>
      <c r="B1197" s="10" t="s">
        <v>2430</v>
      </c>
      <c r="C1197" s="10" t="s">
        <v>1181</v>
      </c>
      <c r="D1197" s="10" t="s">
        <v>1854</v>
      </c>
      <c r="E1197" s="11" t="n">
        <v>2495</v>
      </c>
      <c r="F1197" s="11" t="n">
        <v>1299</v>
      </c>
      <c r="G1197" s="12" t="n">
        <v>0.48</v>
      </c>
      <c r="H1197" s="13" t="n">
        <v>2</v>
      </c>
      <c r="I1197" s="11" t="n">
        <v>2</v>
      </c>
      <c r="J1197" s="11" t="n">
        <f aca="false">E1197-F1197</f>
        <v>1196</v>
      </c>
      <c r="K1197" s="10" t="str">
        <f aca="false">IF(G1197&lt;0.2,"0-19%",IF(G1197&lt;0.4,"20-39%",IF(G1197&lt;0.6,"40-59%",IF(G1197&lt;0.8,"60-79%","80%+"))))</f>
        <v>40-59%</v>
      </c>
      <c r="L1197" s="10" t="str">
        <f aca="false">IF(H1197="","No rating",IF(H1197&lt;3.5,"Below 3.5",IF(H1197&lt;4,"3.5-3.9",IF(H1197&lt;4.5,"4.0-4.4","4.5+"))))</f>
        <v>Below 3.5</v>
      </c>
    </row>
    <row r="1198" customFormat="false" ht="15" hidden="false" customHeight="false" outlineLevel="0" collapsed="false">
      <c r="A1198" s="10" t="s">
        <v>2431</v>
      </c>
      <c r="B1198" s="10" t="s">
        <v>2432</v>
      </c>
      <c r="C1198" s="10" t="s">
        <v>1181</v>
      </c>
      <c r="D1198" s="10" t="s">
        <v>1851</v>
      </c>
      <c r="E1198" s="11" t="n">
        <v>3390</v>
      </c>
      <c r="F1198" s="11" t="n">
        <v>2449</v>
      </c>
      <c r="G1198" s="12" t="n">
        <v>0.28</v>
      </c>
      <c r="H1198" s="13" t="n">
        <v>4</v>
      </c>
      <c r="I1198" s="11" t="n">
        <v>5206</v>
      </c>
      <c r="J1198" s="11" t="n">
        <f aca="false">E1198-F1198</f>
        <v>941</v>
      </c>
      <c r="K1198" s="10" t="str">
        <f aca="false">IF(G1198&lt;0.2,"0-19%",IF(G1198&lt;0.4,"20-39%",IF(G1198&lt;0.6,"40-59%",IF(G1198&lt;0.8,"60-79%","80%+"))))</f>
        <v>20-39%</v>
      </c>
      <c r="L1198" s="10" t="str">
        <f aca="false">IF(H1198="","No rating",IF(H1198&lt;3.5,"Below 3.5",IF(H1198&lt;4,"3.5-3.9",IF(H1198&lt;4.5,"4.0-4.4","4.5+"))))</f>
        <v>4.0-4.4</v>
      </c>
    </row>
    <row r="1199" customFormat="false" ht="15" hidden="false" customHeight="false" outlineLevel="0" collapsed="false">
      <c r="A1199" s="10" t="s">
        <v>2433</v>
      </c>
      <c r="B1199" s="10" t="s">
        <v>2434</v>
      </c>
      <c r="C1199" s="10" t="s">
        <v>1181</v>
      </c>
      <c r="D1199" s="10" t="s">
        <v>1854</v>
      </c>
      <c r="E1199" s="11" t="n">
        <v>2499</v>
      </c>
      <c r="F1199" s="11" t="n">
        <v>1049</v>
      </c>
      <c r="G1199" s="12" t="n">
        <v>0.58</v>
      </c>
      <c r="H1199" s="13" t="n">
        <v>3.7</v>
      </c>
      <c r="I1199" s="11" t="n">
        <v>638</v>
      </c>
      <c r="J1199" s="11" t="n">
        <f aca="false">E1199-F1199</f>
        <v>1450</v>
      </c>
      <c r="K1199" s="10" t="str">
        <f aca="false">IF(G1199&lt;0.2,"0-19%",IF(G1199&lt;0.4,"20-39%",IF(G1199&lt;0.6,"40-59%",IF(G1199&lt;0.8,"60-79%","80%+"))))</f>
        <v>40-59%</v>
      </c>
      <c r="L1199" s="10" t="str">
        <f aca="false">IF(H1199="","No rating",IF(H1199&lt;3.5,"Below 3.5",IF(H1199&lt;4,"3.5-3.9",IF(H1199&lt;4.5,"4.0-4.4","4.5+"))))</f>
        <v>3.5-3.9</v>
      </c>
    </row>
    <row r="1200" customFormat="false" ht="15" hidden="false" customHeight="false" outlineLevel="0" collapsed="false">
      <c r="A1200" s="10" t="s">
        <v>2435</v>
      </c>
      <c r="B1200" s="10" t="s">
        <v>2436</v>
      </c>
      <c r="C1200" s="10" t="s">
        <v>1181</v>
      </c>
      <c r="D1200" s="10" t="s">
        <v>1854</v>
      </c>
      <c r="E1200" s="11" t="n">
        <v>4200</v>
      </c>
      <c r="F1200" s="11" t="n">
        <v>2399</v>
      </c>
      <c r="G1200" s="12" t="n">
        <v>0.43</v>
      </c>
      <c r="H1200" s="13" t="n">
        <v>3.8</v>
      </c>
      <c r="I1200" s="11" t="n">
        <v>397</v>
      </c>
      <c r="J1200" s="11" t="n">
        <f aca="false">E1200-F1200</f>
        <v>1801</v>
      </c>
      <c r="K1200" s="10" t="str">
        <f aca="false">IF(G1200&lt;0.2,"0-19%",IF(G1200&lt;0.4,"20-39%",IF(G1200&lt;0.6,"40-59%",IF(G1200&lt;0.8,"60-79%","80%+"))))</f>
        <v>40-59%</v>
      </c>
      <c r="L1200" s="10" t="str">
        <f aca="false">IF(H1200="","No rating",IF(H1200&lt;3.5,"Below 3.5",IF(H1200&lt;4,"3.5-3.9",IF(H1200&lt;4.5,"4.0-4.4","4.5+"))))</f>
        <v>3.5-3.9</v>
      </c>
    </row>
    <row r="1201" customFormat="false" ht="15" hidden="false" customHeight="false" outlineLevel="0" collapsed="false">
      <c r="A1201" s="10" t="s">
        <v>2437</v>
      </c>
      <c r="B1201" s="10" t="s">
        <v>2438</v>
      </c>
      <c r="C1201" s="10" t="s">
        <v>1181</v>
      </c>
      <c r="D1201" s="10" t="s">
        <v>1851</v>
      </c>
      <c r="E1201" s="11" t="n">
        <v>4495</v>
      </c>
      <c r="F1201" s="11" t="n">
        <v>2286</v>
      </c>
      <c r="G1201" s="12" t="n">
        <v>0.49</v>
      </c>
      <c r="H1201" s="13" t="n">
        <v>3.9</v>
      </c>
      <c r="I1201" s="11" t="n">
        <v>326</v>
      </c>
      <c r="J1201" s="11" t="n">
        <f aca="false">E1201-F1201</f>
        <v>2209</v>
      </c>
      <c r="K1201" s="10" t="str">
        <f aca="false">IF(G1201&lt;0.2,"0-19%",IF(G1201&lt;0.4,"20-39%",IF(G1201&lt;0.6,"40-59%",IF(G1201&lt;0.8,"60-79%","80%+"))))</f>
        <v>40-59%</v>
      </c>
      <c r="L1201" s="10" t="str">
        <f aca="false">IF(H1201="","No rating",IF(H1201&lt;3.5,"Below 3.5",IF(H1201&lt;4,"3.5-3.9",IF(H1201&lt;4.5,"4.0-4.4","4.5+"))))</f>
        <v>3.5-3.9</v>
      </c>
    </row>
    <row r="1202" customFormat="false" ht="15" hidden="false" customHeight="false" outlineLevel="0" collapsed="false">
      <c r="A1202" s="10" t="s">
        <v>2439</v>
      </c>
      <c r="B1202" s="10" t="s">
        <v>2440</v>
      </c>
      <c r="C1202" s="10" t="s">
        <v>1181</v>
      </c>
      <c r="D1202" s="10" t="s">
        <v>1851</v>
      </c>
      <c r="E1202" s="11" t="n">
        <v>2199</v>
      </c>
      <c r="F1202" s="11" t="n">
        <v>499</v>
      </c>
      <c r="G1202" s="12" t="n">
        <v>0.77</v>
      </c>
      <c r="H1202" s="13" t="n">
        <v>3.1</v>
      </c>
      <c r="I1202" s="11" t="n">
        <v>3527</v>
      </c>
      <c r="J1202" s="11" t="n">
        <f aca="false">E1202-F1202</f>
        <v>1700</v>
      </c>
      <c r="K1202" s="10" t="str">
        <f aca="false">IF(G1202&lt;0.2,"0-19%",IF(G1202&lt;0.4,"20-39%",IF(G1202&lt;0.6,"40-59%",IF(G1202&lt;0.8,"60-79%","80%+"))))</f>
        <v>60-79%</v>
      </c>
      <c r="L1202" s="10" t="str">
        <f aca="false">IF(H1202="","No rating",IF(H1202&lt;3.5,"Below 3.5",IF(H1202&lt;4,"3.5-3.9",IF(H1202&lt;4.5,"4.0-4.4","4.5+"))))</f>
        <v>Below 3.5</v>
      </c>
    </row>
    <row r="1203" customFormat="false" ht="15" hidden="false" customHeight="false" outlineLevel="0" collapsed="false">
      <c r="A1203" s="10" t="s">
        <v>2441</v>
      </c>
      <c r="B1203" s="10" t="s">
        <v>2442</v>
      </c>
      <c r="C1203" s="10" t="s">
        <v>1181</v>
      </c>
      <c r="D1203" s="10" t="s">
        <v>1851</v>
      </c>
      <c r="E1203" s="11" t="n">
        <v>999</v>
      </c>
      <c r="F1203" s="11" t="n">
        <v>429</v>
      </c>
      <c r="G1203" s="12" t="n">
        <v>0.57</v>
      </c>
      <c r="H1203" s="13" t="n">
        <v>3</v>
      </c>
      <c r="I1203" s="11" t="n">
        <v>617</v>
      </c>
      <c r="J1203" s="11" t="n">
        <f aca="false">E1203-F1203</f>
        <v>570</v>
      </c>
      <c r="K1203" s="10" t="str">
        <f aca="false">IF(G1203&lt;0.2,"0-19%",IF(G1203&lt;0.4,"20-39%",IF(G1203&lt;0.6,"40-59%",IF(G1203&lt;0.8,"60-79%","80%+"))))</f>
        <v>40-59%</v>
      </c>
      <c r="L1203" s="10" t="str">
        <f aca="false">IF(H1203="","No rating",IF(H1203&lt;3.5,"Below 3.5",IF(H1203&lt;4,"3.5-3.9",IF(H1203&lt;4.5,"4.0-4.4","4.5+"))))</f>
        <v>Below 3.5</v>
      </c>
    </row>
    <row r="1204" customFormat="false" ht="15" hidden="false" customHeight="false" outlineLevel="0" collapsed="false">
      <c r="A1204" s="10" t="s">
        <v>2443</v>
      </c>
      <c r="B1204" s="10" t="s">
        <v>2444</v>
      </c>
      <c r="C1204" s="10" t="s">
        <v>1181</v>
      </c>
      <c r="D1204" s="10" t="s">
        <v>1851</v>
      </c>
      <c r="E1204" s="11" t="n">
        <v>595</v>
      </c>
      <c r="F1204" s="11" t="n">
        <v>299</v>
      </c>
      <c r="G1204" s="12" t="n">
        <v>0.5</v>
      </c>
      <c r="H1204" s="13" t="n">
        <v>4</v>
      </c>
      <c r="I1204" s="11" t="n">
        <v>314</v>
      </c>
      <c r="J1204" s="11" t="n">
        <f aca="false">E1204-F1204</f>
        <v>296</v>
      </c>
      <c r="K1204" s="10" t="str">
        <f aca="false">IF(G1204&lt;0.2,"0-19%",IF(G1204&lt;0.4,"20-39%",IF(G1204&lt;0.6,"40-59%",IF(G1204&lt;0.8,"60-79%","80%+"))))</f>
        <v>40-59%</v>
      </c>
      <c r="L1204" s="10" t="str">
        <f aca="false">IF(H1204="","No rating",IF(H1204&lt;3.5,"Below 3.5",IF(H1204&lt;4,"3.5-3.9",IF(H1204&lt;4.5,"4.0-4.4","4.5+"))))</f>
        <v>4.0-4.4</v>
      </c>
    </row>
    <row r="1205" customFormat="false" ht="15" hidden="false" customHeight="false" outlineLevel="0" collapsed="false">
      <c r="A1205" s="10" t="s">
        <v>2445</v>
      </c>
      <c r="B1205" s="10" t="s">
        <v>2446</v>
      </c>
      <c r="C1205" s="10" t="s">
        <v>1181</v>
      </c>
      <c r="D1205" s="10" t="s">
        <v>1851</v>
      </c>
      <c r="E1205" s="11" t="n">
        <v>19990</v>
      </c>
      <c r="F1205" s="11" t="n">
        <v>5395</v>
      </c>
      <c r="G1205" s="12" t="n">
        <v>0.73</v>
      </c>
      <c r="H1205" s="13" t="n">
        <v>4.4</v>
      </c>
      <c r="I1205" s="11" t="n">
        <v>535</v>
      </c>
      <c r="J1205" s="11" t="n">
        <f aca="false">E1205-F1205</f>
        <v>14595</v>
      </c>
      <c r="K1205" s="10" t="str">
        <f aca="false">IF(G1205&lt;0.2,"0-19%",IF(G1205&lt;0.4,"20-39%",IF(G1205&lt;0.6,"40-59%",IF(G1205&lt;0.8,"60-79%","80%+"))))</f>
        <v>60-79%</v>
      </c>
      <c r="L1205" s="10" t="str">
        <f aca="false">IF(H1205="","No rating",IF(H1205&lt;3.5,"Below 3.5",IF(H1205&lt;4,"3.5-3.9",IF(H1205&lt;4.5,"4.0-4.4","4.5+"))))</f>
        <v>4.0-4.4</v>
      </c>
    </row>
    <row r="1206" customFormat="false" ht="15" hidden="false" customHeight="false" outlineLevel="0" collapsed="false">
      <c r="A1206" s="10" t="s">
        <v>2447</v>
      </c>
      <c r="B1206" s="10" t="s">
        <v>2448</v>
      </c>
      <c r="C1206" s="10" t="s">
        <v>1181</v>
      </c>
      <c r="D1206" s="10" t="s">
        <v>1851</v>
      </c>
      <c r="E1206" s="11" t="n">
        <v>1010</v>
      </c>
      <c r="F1206" s="11" t="n">
        <v>559</v>
      </c>
      <c r="G1206" s="12" t="n">
        <v>0.45</v>
      </c>
      <c r="H1206" s="13" t="n">
        <v>4.1</v>
      </c>
      <c r="I1206" s="11" t="n">
        <v>17325</v>
      </c>
      <c r="J1206" s="11" t="n">
        <f aca="false">E1206-F1206</f>
        <v>451</v>
      </c>
      <c r="K1206" s="10" t="str">
        <f aca="false">IF(G1206&lt;0.2,"0-19%",IF(G1206&lt;0.4,"20-39%",IF(G1206&lt;0.6,"40-59%",IF(G1206&lt;0.8,"60-79%","80%+"))))</f>
        <v>40-59%</v>
      </c>
      <c r="L1206" s="10" t="str">
        <f aca="false">IF(H1206="","No rating",IF(H1206&lt;3.5,"Below 3.5",IF(H1206&lt;4,"3.5-3.9",IF(H1206&lt;4.5,"4.0-4.4","4.5+"))))</f>
        <v>4.0-4.4</v>
      </c>
    </row>
    <row r="1207" customFormat="false" ht="15" hidden="false" customHeight="false" outlineLevel="0" collapsed="false">
      <c r="A1207" s="10" t="s">
        <v>2449</v>
      </c>
      <c r="B1207" s="10" t="s">
        <v>2450</v>
      </c>
      <c r="C1207" s="10" t="s">
        <v>1181</v>
      </c>
      <c r="D1207" s="10" t="s">
        <v>1851</v>
      </c>
      <c r="E1207" s="11" t="n">
        <v>1100</v>
      </c>
      <c r="F1207" s="11" t="n">
        <v>660</v>
      </c>
      <c r="G1207" s="12" t="n">
        <v>0.4</v>
      </c>
      <c r="H1207" s="13" t="n">
        <v>3.6</v>
      </c>
      <c r="I1207" s="11" t="n">
        <v>91</v>
      </c>
      <c r="J1207" s="11" t="n">
        <f aca="false">E1207-F1207</f>
        <v>440</v>
      </c>
      <c r="K1207" s="10" t="str">
        <f aca="false">IF(G1207&lt;0.2,"0-19%",IF(G1207&lt;0.4,"20-39%",IF(G1207&lt;0.6,"40-59%",IF(G1207&lt;0.8,"60-79%","80%+"))))</f>
        <v>40-59%</v>
      </c>
      <c r="L1207" s="10" t="str">
        <f aca="false">IF(H1207="","No rating",IF(H1207&lt;3.5,"Below 3.5",IF(H1207&lt;4,"3.5-3.9",IF(H1207&lt;4.5,"4.0-4.4","4.5+"))))</f>
        <v>3.5-3.9</v>
      </c>
    </row>
    <row r="1208" customFormat="false" ht="15" hidden="false" customHeight="false" outlineLevel="0" collapsed="false">
      <c r="A1208" s="10" t="s">
        <v>2451</v>
      </c>
      <c r="B1208" s="10" t="s">
        <v>2452</v>
      </c>
      <c r="C1208" s="10" t="s">
        <v>1181</v>
      </c>
      <c r="D1208" s="10" t="s">
        <v>1851</v>
      </c>
      <c r="E1208" s="11" t="n">
        <v>999</v>
      </c>
      <c r="F1208" s="11" t="n">
        <v>419</v>
      </c>
      <c r="G1208" s="12" t="n">
        <v>0.58</v>
      </c>
      <c r="H1208" s="13" t="n">
        <v>4.4</v>
      </c>
      <c r="I1208" s="11" t="n">
        <v>227</v>
      </c>
      <c r="J1208" s="11" t="n">
        <f aca="false">E1208-F1208</f>
        <v>580</v>
      </c>
      <c r="K1208" s="10" t="str">
        <f aca="false">IF(G1208&lt;0.2,"0-19%",IF(G1208&lt;0.4,"20-39%",IF(G1208&lt;0.6,"40-59%",IF(G1208&lt;0.8,"60-79%","80%+"))))</f>
        <v>40-59%</v>
      </c>
      <c r="L1208" s="10" t="str">
        <f aca="false">IF(H1208="","No rating",IF(H1208&lt;3.5,"Below 3.5",IF(H1208&lt;4,"3.5-3.9",IF(H1208&lt;4.5,"4.0-4.4","4.5+"))))</f>
        <v>4.0-4.4</v>
      </c>
    </row>
    <row r="1209" customFormat="false" ht="15" hidden="false" customHeight="false" outlineLevel="0" collapsed="false">
      <c r="A1209" s="10" t="s">
        <v>2453</v>
      </c>
      <c r="B1209" s="10" t="s">
        <v>2454</v>
      </c>
      <c r="C1209" s="10" t="s">
        <v>1181</v>
      </c>
      <c r="D1209" s="10" t="s">
        <v>1854</v>
      </c>
      <c r="E1209" s="11" t="n">
        <v>10900</v>
      </c>
      <c r="F1209" s="11" t="n">
        <v>7349</v>
      </c>
      <c r="G1209" s="12" t="n">
        <v>0.33</v>
      </c>
      <c r="H1209" s="13" t="n">
        <v>4.2</v>
      </c>
      <c r="I1209" s="11" t="n">
        <v>11957</v>
      </c>
      <c r="J1209" s="11" t="n">
        <f aca="false">E1209-F1209</f>
        <v>3551</v>
      </c>
      <c r="K1209" s="10" t="str">
        <f aca="false">IF(G1209&lt;0.2,"0-19%",IF(G1209&lt;0.4,"20-39%",IF(G1209&lt;0.6,"40-59%",IF(G1209&lt;0.8,"60-79%","80%+"))))</f>
        <v>20-39%</v>
      </c>
      <c r="L1209" s="10" t="str">
        <f aca="false">IF(H1209="","No rating",IF(H1209&lt;3.5,"Below 3.5",IF(H1209&lt;4,"3.5-3.9",IF(H1209&lt;4.5,"4.0-4.4","4.5+"))))</f>
        <v>4.0-4.4</v>
      </c>
    </row>
    <row r="1210" customFormat="false" ht="15" hidden="false" customHeight="false" outlineLevel="0" collapsed="false">
      <c r="A1210" s="10" t="s">
        <v>2455</v>
      </c>
      <c r="B1210" s="10" t="s">
        <v>2456</v>
      </c>
      <c r="C1210" s="10" t="s">
        <v>1181</v>
      </c>
      <c r="D1210" s="10" t="s">
        <v>1854</v>
      </c>
      <c r="E1210" s="11" t="n">
        <v>4005</v>
      </c>
      <c r="F1210" s="11" t="n">
        <v>2899</v>
      </c>
      <c r="G1210" s="12" t="n">
        <v>0.28</v>
      </c>
      <c r="H1210" s="13" t="n">
        <v>4.3</v>
      </c>
      <c r="I1210" s="11" t="n">
        <v>7140</v>
      </c>
      <c r="J1210" s="11" t="n">
        <f aca="false">E1210-F1210</f>
        <v>1106</v>
      </c>
      <c r="K1210" s="10" t="str">
        <f aca="false">IF(G1210&lt;0.2,"0-19%",IF(G1210&lt;0.4,"20-39%",IF(G1210&lt;0.6,"40-59%",IF(G1210&lt;0.8,"60-79%","80%+"))))</f>
        <v>20-39%</v>
      </c>
      <c r="L1210" s="10" t="str">
        <f aca="false">IF(H1210="","No rating",IF(H1210&lt;3.5,"Below 3.5",IF(H1210&lt;4,"3.5-3.9",IF(H1210&lt;4.5,"4.0-4.4","4.5+"))))</f>
        <v>4.0-4.4</v>
      </c>
    </row>
    <row r="1211" customFormat="false" ht="15" hidden="false" customHeight="false" outlineLevel="0" collapsed="false">
      <c r="A1211" s="10" t="s">
        <v>2457</v>
      </c>
      <c r="B1211" s="10" t="s">
        <v>2458</v>
      </c>
      <c r="C1211" s="10" t="s">
        <v>1181</v>
      </c>
      <c r="D1211" s="10" t="s">
        <v>1851</v>
      </c>
      <c r="E1211" s="11" t="n">
        <v>3295</v>
      </c>
      <c r="F1211" s="11" t="n">
        <v>1799</v>
      </c>
      <c r="G1211" s="12" t="n">
        <v>0.45</v>
      </c>
      <c r="H1211" s="13" t="n">
        <v>3.8</v>
      </c>
      <c r="I1211" s="11" t="n">
        <v>687</v>
      </c>
      <c r="J1211" s="11" t="n">
        <f aca="false">E1211-F1211</f>
        <v>1496</v>
      </c>
      <c r="K1211" s="10" t="str">
        <f aca="false">IF(G1211&lt;0.2,"0-19%",IF(G1211&lt;0.4,"20-39%",IF(G1211&lt;0.6,"40-59%",IF(G1211&lt;0.8,"60-79%","80%+"))))</f>
        <v>40-59%</v>
      </c>
      <c r="L1211" s="10" t="str">
        <f aca="false">IF(H1211="","No rating",IF(H1211&lt;3.5,"Below 3.5",IF(H1211&lt;4,"3.5-3.9",IF(H1211&lt;4.5,"4.0-4.4","4.5+"))))</f>
        <v>3.5-3.9</v>
      </c>
    </row>
    <row r="1212" customFormat="false" ht="15" hidden="false" customHeight="false" outlineLevel="0" collapsed="false">
      <c r="A1212" s="10" t="s">
        <v>2459</v>
      </c>
      <c r="B1212" s="10" t="s">
        <v>2460</v>
      </c>
      <c r="C1212" s="10" t="s">
        <v>1181</v>
      </c>
      <c r="D1212" s="10" t="s">
        <v>1851</v>
      </c>
      <c r="E1212" s="11" t="n">
        <v>4650</v>
      </c>
      <c r="F1212" s="11" t="n">
        <v>1474</v>
      </c>
      <c r="G1212" s="12" t="n">
        <v>0.68</v>
      </c>
      <c r="H1212" s="13" t="n">
        <v>4.1</v>
      </c>
      <c r="I1212" s="11" t="n">
        <v>1045</v>
      </c>
      <c r="J1212" s="11" t="n">
        <f aca="false">E1212-F1212</f>
        <v>3176</v>
      </c>
      <c r="K1212" s="10" t="str">
        <f aca="false">IF(G1212&lt;0.2,"0-19%",IF(G1212&lt;0.4,"20-39%",IF(G1212&lt;0.6,"40-59%",IF(G1212&lt;0.8,"60-79%","80%+"))))</f>
        <v>60-79%</v>
      </c>
      <c r="L1212" s="10" t="str">
        <f aca="false">IF(H1212="","No rating",IF(H1212&lt;3.5,"Below 3.5",IF(H1212&lt;4,"3.5-3.9",IF(H1212&lt;4.5,"4.0-4.4","4.5+"))))</f>
        <v>4.0-4.4</v>
      </c>
    </row>
    <row r="1213" customFormat="false" ht="15" hidden="false" customHeight="false" outlineLevel="0" collapsed="false">
      <c r="A1213" s="10" t="s">
        <v>2461</v>
      </c>
      <c r="B1213" s="10" t="s">
        <v>2462</v>
      </c>
      <c r="C1213" s="10" t="s">
        <v>1181</v>
      </c>
      <c r="D1213" s="10" t="s">
        <v>1851</v>
      </c>
      <c r="E1213" s="11" t="n">
        <v>24500</v>
      </c>
      <c r="F1213" s="11" t="n">
        <v>15999</v>
      </c>
      <c r="G1213" s="12" t="n">
        <v>0.35</v>
      </c>
      <c r="H1213" s="13" t="n">
        <v>4</v>
      </c>
      <c r="I1213" s="11" t="n">
        <v>11206</v>
      </c>
      <c r="J1213" s="11" t="n">
        <f aca="false">E1213-F1213</f>
        <v>8501</v>
      </c>
      <c r="K1213" s="10" t="str">
        <f aca="false">IF(G1213&lt;0.2,"0-19%",IF(G1213&lt;0.4,"20-39%",IF(G1213&lt;0.6,"40-59%",IF(G1213&lt;0.8,"60-79%","80%+"))))</f>
        <v>20-39%</v>
      </c>
      <c r="L1213" s="10" t="str">
        <f aca="false">IF(H1213="","No rating",IF(H1213&lt;3.5,"Below 3.5",IF(H1213&lt;4,"3.5-3.9",IF(H1213&lt;4.5,"4.0-4.4","4.5+"))))</f>
        <v>4.0-4.4</v>
      </c>
    </row>
    <row r="1214" customFormat="false" ht="15" hidden="false" customHeight="false" outlineLevel="0" collapsed="false">
      <c r="A1214" s="10" t="s">
        <v>2463</v>
      </c>
      <c r="B1214" s="10" t="s">
        <v>2464</v>
      </c>
      <c r="C1214" s="10" t="s">
        <v>1181</v>
      </c>
      <c r="D1214" s="10" t="s">
        <v>1854</v>
      </c>
      <c r="E1214" s="11" t="n">
        <v>6070</v>
      </c>
      <c r="F1214" s="11" t="n">
        <v>3645</v>
      </c>
      <c r="G1214" s="12" t="n">
        <v>0.4</v>
      </c>
      <c r="H1214" s="13" t="n">
        <v>4.2</v>
      </c>
      <c r="I1214" s="11" t="n">
        <v>561</v>
      </c>
      <c r="J1214" s="11" t="n">
        <f aca="false">E1214-F1214</f>
        <v>2425</v>
      </c>
      <c r="K1214" s="10" t="str">
        <f aca="false">IF(G1214&lt;0.2,"0-19%",IF(G1214&lt;0.4,"20-39%",IF(G1214&lt;0.6,"40-59%",IF(G1214&lt;0.8,"60-79%","80%+"))))</f>
        <v>40-59%</v>
      </c>
      <c r="L1214" s="10" t="str">
        <f aca="false">IF(H1214="","No rating",IF(H1214&lt;3.5,"Below 3.5",IF(H1214&lt;4,"3.5-3.9",IF(H1214&lt;4.5,"4.0-4.4","4.5+"))))</f>
        <v>4.0-4.4</v>
      </c>
    </row>
    <row r="1215" customFormat="false" ht="15" hidden="false" customHeight="false" outlineLevel="0" collapsed="false">
      <c r="A1215" s="10" t="s">
        <v>2465</v>
      </c>
      <c r="B1215" s="10" t="s">
        <v>2466</v>
      </c>
      <c r="C1215" s="10" t="s">
        <v>1181</v>
      </c>
      <c r="D1215" s="10" t="s">
        <v>1851</v>
      </c>
      <c r="E1215" s="11" t="n">
        <v>999</v>
      </c>
      <c r="F1215" s="11" t="n">
        <v>375</v>
      </c>
      <c r="G1215" s="12" t="n">
        <v>0.62</v>
      </c>
      <c r="H1215" s="13" t="n">
        <v>3.6</v>
      </c>
      <c r="I1215" s="11" t="n">
        <v>1988</v>
      </c>
      <c r="J1215" s="11" t="n">
        <f aca="false">E1215-F1215</f>
        <v>624</v>
      </c>
      <c r="K1215" s="10" t="str">
        <f aca="false">IF(G1215&lt;0.2,"0-19%",IF(G1215&lt;0.4,"20-39%",IF(G1215&lt;0.6,"40-59%",IF(G1215&lt;0.8,"60-79%","80%+"))))</f>
        <v>60-79%</v>
      </c>
      <c r="L1215" s="10" t="str">
        <f aca="false">IF(H1215="","No rating",IF(H1215&lt;3.5,"Below 3.5",IF(H1215&lt;4,"3.5-3.9",IF(H1215&lt;4.5,"4.0-4.4","4.5+"))))</f>
        <v>3.5-3.9</v>
      </c>
    </row>
    <row r="1216" customFormat="false" ht="15" hidden="false" customHeight="false" outlineLevel="0" collapsed="false">
      <c r="A1216" s="10" t="s">
        <v>2467</v>
      </c>
      <c r="B1216" s="10" t="s">
        <v>2468</v>
      </c>
      <c r="C1216" s="10" t="s">
        <v>1181</v>
      </c>
      <c r="D1216" s="10" t="s">
        <v>1851</v>
      </c>
      <c r="E1216" s="11" t="n">
        <v>3945</v>
      </c>
      <c r="F1216" s="11" t="n">
        <v>2976</v>
      </c>
      <c r="G1216" s="12" t="n">
        <v>0.25</v>
      </c>
      <c r="H1216" s="13" t="n">
        <v>4.2</v>
      </c>
      <c r="I1216" s="11" t="n">
        <v>3740</v>
      </c>
      <c r="J1216" s="11" t="n">
        <f aca="false">E1216-F1216</f>
        <v>969</v>
      </c>
      <c r="K1216" s="10" t="str">
        <f aca="false">IF(G1216&lt;0.2,"0-19%",IF(G1216&lt;0.4,"20-39%",IF(G1216&lt;0.6,"40-59%",IF(G1216&lt;0.8,"60-79%","80%+"))))</f>
        <v>20-39%</v>
      </c>
      <c r="L1216" s="10" t="str">
        <f aca="false">IF(H1216="","No rating",IF(H1216&lt;3.5,"Below 3.5",IF(H1216&lt;4,"3.5-3.9",IF(H1216&lt;4.5,"4.0-4.4","4.5+"))))</f>
        <v>4.0-4.4</v>
      </c>
    </row>
    <row r="1217" customFormat="false" ht="15" hidden="false" customHeight="false" outlineLevel="0" collapsed="false">
      <c r="A1217" s="10" t="s">
        <v>2469</v>
      </c>
      <c r="B1217" s="10" t="s">
        <v>2470</v>
      </c>
      <c r="C1217" s="10" t="s">
        <v>1181</v>
      </c>
      <c r="D1217" s="10" t="s">
        <v>1851</v>
      </c>
      <c r="E1217" s="11" t="n">
        <v>1499</v>
      </c>
      <c r="F1217" s="11" t="n">
        <v>1099</v>
      </c>
      <c r="G1217" s="12" t="n">
        <v>0.27</v>
      </c>
      <c r="H1217" s="13" t="n">
        <v>4.1</v>
      </c>
      <c r="I1217" s="11" t="n">
        <v>4401</v>
      </c>
      <c r="J1217" s="11" t="n">
        <f aca="false">E1217-F1217</f>
        <v>400</v>
      </c>
      <c r="K1217" s="10" t="str">
        <f aca="false">IF(G1217&lt;0.2,"0-19%",IF(G1217&lt;0.4,"20-39%",IF(G1217&lt;0.6,"40-59%",IF(G1217&lt;0.8,"60-79%","80%+"))))</f>
        <v>20-39%</v>
      </c>
      <c r="L1217" s="10" t="str">
        <f aca="false">IF(H1217="","No rating",IF(H1217&lt;3.5,"Below 3.5",IF(H1217&lt;4,"3.5-3.9",IF(H1217&lt;4.5,"4.0-4.4","4.5+"))))</f>
        <v>4.0-4.4</v>
      </c>
    </row>
    <row r="1218" customFormat="false" ht="15" hidden="false" customHeight="false" outlineLevel="0" collapsed="false">
      <c r="A1218" s="10" t="s">
        <v>2471</v>
      </c>
      <c r="B1218" s="10" t="s">
        <v>2472</v>
      </c>
      <c r="C1218" s="10" t="s">
        <v>1181</v>
      </c>
      <c r="D1218" s="10" t="s">
        <v>1851</v>
      </c>
      <c r="E1218" s="11" t="n">
        <v>6700</v>
      </c>
      <c r="F1218" s="11" t="n">
        <v>2575</v>
      </c>
      <c r="G1218" s="12" t="n">
        <v>0.62</v>
      </c>
      <c r="H1218" s="13" t="n">
        <v>4.2</v>
      </c>
      <c r="I1218" s="11" t="n">
        <v>611</v>
      </c>
      <c r="J1218" s="11" t="n">
        <f aca="false">E1218-F1218</f>
        <v>4125</v>
      </c>
      <c r="K1218" s="10" t="str">
        <f aca="false">IF(G1218&lt;0.2,"0-19%",IF(G1218&lt;0.4,"20-39%",IF(G1218&lt;0.6,"40-59%",IF(G1218&lt;0.8,"60-79%","80%+"))))</f>
        <v>60-79%</v>
      </c>
      <c r="L1218" s="10" t="str">
        <f aca="false">IF(H1218="","No rating",IF(H1218&lt;3.5,"Below 3.5",IF(H1218&lt;4,"3.5-3.9",IF(H1218&lt;4.5,"4.0-4.4","4.5+"))))</f>
        <v>4.0-4.4</v>
      </c>
    </row>
    <row r="1219" customFormat="false" ht="15" hidden="false" customHeight="false" outlineLevel="0" collapsed="false">
      <c r="A1219" s="10" t="s">
        <v>2473</v>
      </c>
      <c r="B1219" s="10" t="s">
        <v>2474</v>
      </c>
      <c r="C1219" s="10" t="s">
        <v>1181</v>
      </c>
      <c r="D1219" s="10" t="s">
        <v>1851</v>
      </c>
      <c r="E1219" s="11" t="n">
        <v>2800</v>
      </c>
      <c r="F1219" s="11" t="n">
        <v>1649</v>
      </c>
      <c r="G1219" s="12" t="n">
        <v>0.41</v>
      </c>
      <c r="H1219" s="13" t="n">
        <v>3.9</v>
      </c>
      <c r="I1219" s="11" t="n">
        <v>2162</v>
      </c>
      <c r="J1219" s="11" t="n">
        <f aca="false">E1219-F1219</f>
        <v>1151</v>
      </c>
      <c r="K1219" s="10" t="str">
        <f aca="false">IF(G1219&lt;0.2,"0-19%",IF(G1219&lt;0.4,"20-39%",IF(G1219&lt;0.6,"40-59%",IF(G1219&lt;0.8,"60-79%","80%+"))))</f>
        <v>40-59%</v>
      </c>
      <c r="L1219" s="10" t="str">
        <f aca="false">IF(H1219="","No rating",IF(H1219&lt;3.5,"Below 3.5",IF(H1219&lt;4,"3.5-3.9",IF(H1219&lt;4.5,"4.0-4.4","4.5+"))))</f>
        <v>3.5-3.9</v>
      </c>
    </row>
    <row r="1220" customFormat="false" ht="15" hidden="false" customHeight="false" outlineLevel="0" collapsed="false">
      <c r="A1220" s="10" t="s">
        <v>2475</v>
      </c>
      <c r="B1220" s="10" t="s">
        <v>2476</v>
      </c>
      <c r="C1220" s="10" t="s">
        <v>1181</v>
      </c>
      <c r="D1220" s="10" t="s">
        <v>1851</v>
      </c>
      <c r="E1220" s="11" t="n">
        <v>1699</v>
      </c>
      <c r="F1220" s="11" t="n">
        <v>799</v>
      </c>
      <c r="G1220" s="12" t="n">
        <v>0.53</v>
      </c>
      <c r="H1220" s="13" t="n">
        <v>4</v>
      </c>
      <c r="I1220" s="11" t="n">
        <v>97</v>
      </c>
      <c r="J1220" s="11" t="n">
        <f aca="false">E1220-F1220</f>
        <v>900</v>
      </c>
      <c r="K1220" s="10" t="str">
        <f aca="false">IF(G1220&lt;0.2,"0-19%",IF(G1220&lt;0.4,"20-39%",IF(G1220&lt;0.6,"40-59%",IF(G1220&lt;0.8,"60-79%","80%+"))))</f>
        <v>40-59%</v>
      </c>
      <c r="L1220" s="10" t="str">
        <f aca="false">IF(H1220="","No rating",IF(H1220&lt;3.5,"Below 3.5",IF(H1220&lt;4,"3.5-3.9",IF(H1220&lt;4.5,"4.0-4.4","4.5+"))))</f>
        <v>4.0-4.4</v>
      </c>
    </row>
    <row r="1221" customFormat="false" ht="15" hidden="false" customHeight="false" outlineLevel="0" collapsed="false">
      <c r="A1221" s="10" t="s">
        <v>2477</v>
      </c>
      <c r="B1221" s="10" t="s">
        <v>2478</v>
      </c>
      <c r="C1221" s="10" t="s">
        <v>1181</v>
      </c>
      <c r="D1221" s="10" t="s">
        <v>1851</v>
      </c>
      <c r="E1221" s="11" t="n">
        <v>970</v>
      </c>
      <c r="F1221" s="11" t="n">
        <v>765</v>
      </c>
      <c r="G1221" s="12" t="n">
        <v>0.21</v>
      </c>
      <c r="H1221" s="13" t="n">
        <v>4.2</v>
      </c>
      <c r="I1221" s="11" t="n">
        <v>6055</v>
      </c>
      <c r="J1221" s="11" t="n">
        <f aca="false">E1221-F1221</f>
        <v>205</v>
      </c>
      <c r="K1221" s="10" t="str">
        <f aca="false">IF(G1221&lt;0.2,"0-19%",IF(G1221&lt;0.4,"20-39%",IF(G1221&lt;0.6,"40-59%",IF(G1221&lt;0.8,"60-79%","80%+"))))</f>
        <v>20-39%</v>
      </c>
      <c r="L1221" s="10" t="str">
        <f aca="false">IF(H1221="","No rating",IF(H1221&lt;3.5,"Below 3.5",IF(H1221&lt;4,"3.5-3.9",IF(H1221&lt;4.5,"4.0-4.4","4.5+"))))</f>
        <v>4.0-4.4</v>
      </c>
    </row>
    <row r="1222" customFormat="false" ht="15" hidden="false" customHeight="false" outlineLevel="0" collapsed="false">
      <c r="A1222" s="10" t="s">
        <v>2479</v>
      </c>
      <c r="B1222" s="10" t="s">
        <v>2480</v>
      </c>
      <c r="C1222" s="10" t="s">
        <v>1181</v>
      </c>
      <c r="D1222" s="10" t="s">
        <v>1851</v>
      </c>
      <c r="E1222" s="11" t="n">
        <v>1500</v>
      </c>
      <c r="F1222" s="11" t="n">
        <v>999</v>
      </c>
      <c r="G1222" s="12" t="n">
        <v>0.33</v>
      </c>
      <c r="H1222" s="13" t="n">
        <v>4.2</v>
      </c>
      <c r="I1222" s="11" t="n">
        <v>386</v>
      </c>
      <c r="J1222" s="11" t="n">
        <f aca="false">E1222-F1222</f>
        <v>501</v>
      </c>
      <c r="K1222" s="10" t="str">
        <f aca="false">IF(G1222&lt;0.2,"0-19%",IF(G1222&lt;0.4,"20-39%",IF(G1222&lt;0.6,"40-59%",IF(G1222&lt;0.8,"60-79%","80%+"))))</f>
        <v>20-39%</v>
      </c>
      <c r="L1222" s="10" t="str">
        <f aca="false">IF(H1222="","No rating",IF(H1222&lt;3.5,"Below 3.5",IF(H1222&lt;4,"3.5-3.9",IF(H1222&lt;4.5,"4.0-4.4","4.5+"))))</f>
        <v>4.0-4.4</v>
      </c>
    </row>
    <row r="1223" customFormat="false" ht="15" hidden="false" customHeight="false" outlineLevel="0" collapsed="false">
      <c r="A1223" s="10" t="s">
        <v>2481</v>
      </c>
      <c r="B1223" s="10" t="s">
        <v>2482</v>
      </c>
      <c r="C1223" s="10" t="s">
        <v>1181</v>
      </c>
      <c r="D1223" s="10" t="s">
        <v>1851</v>
      </c>
      <c r="E1223" s="11" t="n">
        <v>1295</v>
      </c>
      <c r="F1223" s="11" t="n">
        <v>587</v>
      </c>
      <c r="G1223" s="12" t="n">
        <v>0.55</v>
      </c>
      <c r="H1223" s="13" t="n">
        <v>4.1</v>
      </c>
      <c r="I1223" s="11" t="n">
        <v>557</v>
      </c>
      <c r="J1223" s="11" t="n">
        <f aca="false">E1223-F1223</f>
        <v>708</v>
      </c>
      <c r="K1223" s="10" t="str">
        <f aca="false">IF(G1223&lt;0.2,"0-19%",IF(G1223&lt;0.4,"20-39%",IF(G1223&lt;0.6,"40-59%",IF(G1223&lt;0.8,"60-79%","80%+"))))</f>
        <v>40-59%</v>
      </c>
      <c r="L1223" s="10" t="str">
        <f aca="false">IF(H1223="","No rating",IF(H1223&lt;3.5,"Below 3.5",IF(H1223&lt;4,"3.5-3.9",IF(H1223&lt;4.5,"4.0-4.4","4.5+"))))</f>
        <v>4.0-4.4</v>
      </c>
    </row>
    <row r="1224" customFormat="false" ht="15" hidden="false" customHeight="false" outlineLevel="0" collapsed="false">
      <c r="A1224" s="10" t="s">
        <v>2483</v>
      </c>
      <c r="B1224" s="10" t="s">
        <v>2484</v>
      </c>
      <c r="C1224" s="10" t="s">
        <v>1181</v>
      </c>
      <c r="D1224" s="10" t="s">
        <v>1851</v>
      </c>
      <c r="E1224" s="11" t="n">
        <v>23999</v>
      </c>
      <c r="F1224" s="11" t="n">
        <v>12609</v>
      </c>
      <c r="G1224" s="12" t="n">
        <v>0.47</v>
      </c>
      <c r="H1224" s="13" t="n">
        <v>4.4</v>
      </c>
      <c r="I1224" s="11" t="n">
        <v>2288</v>
      </c>
      <c r="J1224" s="11" t="n">
        <f aca="false">E1224-F1224</f>
        <v>11390</v>
      </c>
      <c r="K1224" s="10" t="str">
        <f aca="false">IF(G1224&lt;0.2,"0-19%",IF(G1224&lt;0.4,"20-39%",IF(G1224&lt;0.6,"40-59%",IF(G1224&lt;0.8,"60-79%","80%+"))))</f>
        <v>40-59%</v>
      </c>
      <c r="L1224" s="10" t="str">
        <f aca="false">IF(H1224="","No rating",IF(H1224&lt;3.5,"Below 3.5",IF(H1224&lt;4,"3.5-3.9",IF(H1224&lt;4.5,"4.0-4.4","4.5+"))))</f>
        <v>4.0-4.4</v>
      </c>
    </row>
    <row r="1225" customFormat="false" ht="15" hidden="false" customHeight="false" outlineLevel="0" collapsed="false">
      <c r="A1225" s="10" t="s">
        <v>2485</v>
      </c>
      <c r="B1225" s="10" t="s">
        <v>2486</v>
      </c>
      <c r="C1225" s="10" t="s">
        <v>1181</v>
      </c>
      <c r="D1225" s="10" t="s">
        <v>1851</v>
      </c>
      <c r="E1225" s="11" t="n">
        <v>850</v>
      </c>
      <c r="F1225" s="11" t="n">
        <v>699</v>
      </c>
      <c r="G1225" s="12" t="n">
        <v>0.18</v>
      </c>
      <c r="H1225" s="13" t="n">
        <v>4.1</v>
      </c>
      <c r="I1225" s="11" t="n">
        <v>1106</v>
      </c>
      <c r="J1225" s="11" t="n">
        <f aca="false">E1225-F1225</f>
        <v>151</v>
      </c>
      <c r="K1225" s="10" t="str">
        <f aca="false">IF(G1225&lt;0.2,"0-19%",IF(G1225&lt;0.4,"20-39%",IF(G1225&lt;0.6,"40-59%",IF(G1225&lt;0.8,"60-79%","80%+"))))</f>
        <v>0-19%</v>
      </c>
      <c r="L1225" s="10" t="str">
        <f aca="false">IF(H1225="","No rating",IF(H1225&lt;3.5,"Below 3.5",IF(H1225&lt;4,"3.5-3.9",IF(H1225&lt;4.5,"4.0-4.4","4.5+"))))</f>
        <v>4.0-4.4</v>
      </c>
    </row>
    <row r="1226" customFormat="false" ht="15" hidden="false" customHeight="false" outlineLevel="0" collapsed="false">
      <c r="A1226" s="10" t="s">
        <v>2487</v>
      </c>
      <c r="B1226" s="10" t="s">
        <v>2488</v>
      </c>
      <c r="C1226" s="10" t="s">
        <v>1181</v>
      </c>
      <c r="D1226" s="10" t="s">
        <v>1851</v>
      </c>
      <c r="E1226" s="11" t="n">
        <v>6000</v>
      </c>
      <c r="F1226" s="11" t="n">
        <v>3799</v>
      </c>
      <c r="G1226" s="12" t="n">
        <v>0.37</v>
      </c>
      <c r="H1226" s="13" t="n">
        <v>4.2</v>
      </c>
      <c r="I1226" s="11" t="n">
        <v>11935</v>
      </c>
      <c r="J1226" s="11" t="n">
        <f aca="false">E1226-F1226</f>
        <v>2201</v>
      </c>
      <c r="K1226" s="10" t="str">
        <f aca="false">IF(G1226&lt;0.2,"0-19%",IF(G1226&lt;0.4,"20-39%",IF(G1226&lt;0.6,"40-59%",IF(G1226&lt;0.8,"60-79%","80%+"))))</f>
        <v>20-39%</v>
      </c>
      <c r="L1226" s="10" t="str">
        <f aca="false">IF(H1226="","No rating",IF(H1226&lt;3.5,"Below 3.5",IF(H1226&lt;4,"3.5-3.9",IF(H1226&lt;4.5,"4.0-4.4","4.5+"))))</f>
        <v>4.0-4.4</v>
      </c>
    </row>
    <row r="1227" customFormat="false" ht="15" hidden="false" customHeight="false" outlineLevel="0" collapsed="false">
      <c r="A1227" s="10" t="s">
        <v>2489</v>
      </c>
      <c r="B1227" s="10" t="s">
        <v>2490</v>
      </c>
      <c r="C1227" s="10" t="s">
        <v>1181</v>
      </c>
      <c r="D1227" s="10" t="s">
        <v>1854</v>
      </c>
      <c r="E1227" s="11" t="n">
        <v>1020</v>
      </c>
      <c r="F1227" s="11" t="n">
        <v>640</v>
      </c>
      <c r="G1227" s="12" t="n">
        <v>0.37</v>
      </c>
      <c r="H1227" s="13" t="n">
        <v>4.1</v>
      </c>
      <c r="I1227" s="11" t="n">
        <v>5059</v>
      </c>
      <c r="J1227" s="11" t="n">
        <f aca="false">E1227-F1227</f>
        <v>380</v>
      </c>
      <c r="K1227" s="10" t="str">
        <f aca="false">IF(G1227&lt;0.2,"0-19%",IF(G1227&lt;0.4,"20-39%",IF(G1227&lt;0.6,"40-59%",IF(G1227&lt;0.8,"60-79%","80%+"))))</f>
        <v>20-39%</v>
      </c>
      <c r="L1227" s="10" t="str">
        <f aca="false">IF(H1227="","No rating",IF(H1227&lt;3.5,"Below 3.5",IF(H1227&lt;4,"3.5-3.9",IF(H1227&lt;4.5,"4.0-4.4","4.5+"))))</f>
        <v>4.0-4.4</v>
      </c>
    </row>
    <row r="1228" customFormat="false" ht="15" hidden="false" customHeight="false" outlineLevel="0" collapsed="false">
      <c r="A1228" s="10" t="s">
        <v>2491</v>
      </c>
      <c r="B1228" s="10" t="s">
        <v>2492</v>
      </c>
      <c r="C1228" s="10" t="s">
        <v>1181</v>
      </c>
      <c r="D1228" s="10" t="s">
        <v>1854</v>
      </c>
      <c r="E1228" s="11" t="n">
        <v>1999</v>
      </c>
      <c r="F1228" s="11" t="n">
        <v>979</v>
      </c>
      <c r="G1228" s="12" t="n">
        <v>0.51</v>
      </c>
      <c r="H1228" s="13" t="n">
        <v>3.9</v>
      </c>
      <c r="I1228" s="11" t="n">
        <v>157</v>
      </c>
      <c r="J1228" s="11" t="n">
        <f aca="false">E1228-F1228</f>
        <v>1020</v>
      </c>
      <c r="K1228" s="10" t="str">
        <f aca="false">IF(G1228&lt;0.2,"0-19%",IF(G1228&lt;0.4,"20-39%",IF(G1228&lt;0.6,"40-59%",IF(G1228&lt;0.8,"60-79%","80%+"))))</f>
        <v>40-59%</v>
      </c>
      <c r="L1228" s="10" t="str">
        <f aca="false">IF(H1228="","No rating",IF(H1228&lt;3.5,"Below 3.5",IF(H1228&lt;4,"3.5-3.9",IF(H1228&lt;4.5,"4.0-4.4","4.5+"))))</f>
        <v>3.5-3.9</v>
      </c>
    </row>
    <row r="1229" customFormat="false" ht="15" hidden="false" customHeight="false" outlineLevel="0" collapsed="false">
      <c r="A1229" s="10" t="s">
        <v>2493</v>
      </c>
      <c r="B1229" s="10" t="s">
        <v>2494</v>
      </c>
      <c r="C1229" s="10" t="s">
        <v>1181</v>
      </c>
      <c r="D1229" s="10" t="s">
        <v>1854</v>
      </c>
      <c r="E1229" s="11" t="n">
        <v>7445</v>
      </c>
      <c r="F1229" s="11" t="n">
        <v>5365</v>
      </c>
      <c r="G1229" s="12" t="n">
        <v>0.28</v>
      </c>
      <c r="H1229" s="13" t="n">
        <v>3.9</v>
      </c>
      <c r="I1229" s="11" t="n">
        <v>3584</v>
      </c>
      <c r="J1229" s="11" t="n">
        <f aca="false">E1229-F1229</f>
        <v>2080</v>
      </c>
      <c r="K1229" s="10" t="str">
        <f aca="false">IF(G1229&lt;0.2,"0-19%",IF(G1229&lt;0.4,"20-39%",IF(G1229&lt;0.6,"40-59%",IF(G1229&lt;0.8,"60-79%","80%+"))))</f>
        <v>20-39%</v>
      </c>
      <c r="L1229" s="10" t="str">
        <f aca="false">IF(H1229="","No rating",IF(H1229&lt;3.5,"Below 3.5",IF(H1229&lt;4,"3.5-3.9",IF(H1229&lt;4.5,"4.0-4.4","4.5+"))))</f>
        <v>3.5-3.9</v>
      </c>
    </row>
    <row r="1230" customFormat="false" ht="15" hidden="false" customHeight="false" outlineLevel="0" collapsed="false">
      <c r="A1230" s="10" t="s">
        <v>2495</v>
      </c>
      <c r="B1230" s="10" t="s">
        <v>2496</v>
      </c>
      <c r="C1230" s="10" t="s">
        <v>1181</v>
      </c>
      <c r="D1230" s="10" t="s">
        <v>1851</v>
      </c>
      <c r="E1230" s="11" t="n">
        <v>3500</v>
      </c>
      <c r="F1230" s="11" t="n">
        <v>3199</v>
      </c>
      <c r="G1230" s="12" t="n">
        <v>0.09</v>
      </c>
      <c r="H1230" s="13" t="n">
        <v>4.2</v>
      </c>
      <c r="I1230" s="11" t="n">
        <v>1899</v>
      </c>
      <c r="J1230" s="11" t="n">
        <f aca="false">E1230-F1230</f>
        <v>301</v>
      </c>
      <c r="K1230" s="10" t="str">
        <f aca="false">IF(G1230&lt;0.2,"0-19%",IF(G1230&lt;0.4,"20-39%",IF(G1230&lt;0.6,"40-59%",IF(G1230&lt;0.8,"60-79%","80%+"))))</f>
        <v>0-19%</v>
      </c>
      <c r="L1230" s="10" t="str">
        <f aca="false">IF(H1230="","No rating",IF(H1230&lt;3.5,"Below 3.5",IF(H1230&lt;4,"3.5-3.9",IF(H1230&lt;4.5,"4.0-4.4","4.5+"))))</f>
        <v>4.0-4.4</v>
      </c>
    </row>
    <row r="1231" customFormat="false" ht="15" hidden="false" customHeight="false" outlineLevel="0" collapsed="false">
      <c r="A1231" s="10" t="s">
        <v>2497</v>
      </c>
      <c r="B1231" s="10" t="s">
        <v>2498</v>
      </c>
      <c r="C1231" s="10" t="s">
        <v>1181</v>
      </c>
      <c r="D1231" s="10" t="s">
        <v>1851</v>
      </c>
      <c r="E1231" s="11" t="n">
        <v>1395</v>
      </c>
      <c r="F1231" s="11" t="n">
        <v>979</v>
      </c>
      <c r="G1231" s="12" t="n">
        <v>0.3</v>
      </c>
      <c r="H1231" s="13" t="n">
        <v>4.2</v>
      </c>
      <c r="I1231" s="11" t="n">
        <v>15252</v>
      </c>
      <c r="J1231" s="11" t="n">
        <f aca="false">E1231-F1231</f>
        <v>416</v>
      </c>
      <c r="K1231" s="10" t="str">
        <f aca="false">IF(G1231&lt;0.2,"0-19%",IF(G1231&lt;0.4,"20-39%",IF(G1231&lt;0.6,"40-59%",IF(G1231&lt;0.8,"60-79%","80%+"))))</f>
        <v>20-39%</v>
      </c>
      <c r="L1231" s="10" t="str">
        <f aca="false">IF(H1231="","No rating",IF(H1231&lt;3.5,"Below 3.5",IF(H1231&lt;4,"3.5-3.9",IF(H1231&lt;4.5,"4.0-4.4","4.5+"))))</f>
        <v>4.0-4.4</v>
      </c>
    </row>
    <row r="1232" customFormat="false" ht="15" hidden="false" customHeight="false" outlineLevel="0" collapsed="false">
      <c r="A1232" s="10" t="s">
        <v>2499</v>
      </c>
      <c r="B1232" s="10" t="s">
        <v>2500</v>
      </c>
      <c r="C1232" s="10" t="s">
        <v>1181</v>
      </c>
      <c r="D1232" s="10" t="s">
        <v>1854</v>
      </c>
      <c r="E1232" s="11" t="n">
        <v>2199</v>
      </c>
      <c r="F1232" s="11" t="n">
        <v>929</v>
      </c>
      <c r="G1232" s="12" t="n">
        <v>0.58</v>
      </c>
      <c r="H1232" s="13" t="n">
        <v>3.7</v>
      </c>
      <c r="I1232" s="11" t="n">
        <v>4</v>
      </c>
      <c r="J1232" s="11" t="n">
        <f aca="false">E1232-F1232</f>
        <v>1270</v>
      </c>
      <c r="K1232" s="10" t="str">
        <f aca="false">IF(G1232&lt;0.2,"0-19%",IF(G1232&lt;0.4,"20-39%",IF(G1232&lt;0.6,"40-59%",IF(G1232&lt;0.8,"60-79%","80%+"))))</f>
        <v>40-59%</v>
      </c>
      <c r="L1232" s="10" t="str">
        <f aca="false">IF(H1232="","No rating",IF(H1232&lt;3.5,"Below 3.5",IF(H1232&lt;4,"3.5-3.9",IF(H1232&lt;4.5,"4.0-4.4","4.5+"))))</f>
        <v>3.5-3.9</v>
      </c>
    </row>
    <row r="1233" customFormat="false" ht="15" hidden="false" customHeight="false" outlineLevel="0" collapsed="false">
      <c r="A1233" s="10" t="s">
        <v>2501</v>
      </c>
      <c r="B1233" s="10" t="s">
        <v>2502</v>
      </c>
      <c r="C1233" s="10" t="s">
        <v>1181</v>
      </c>
      <c r="D1233" s="10" t="s">
        <v>1851</v>
      </c>
      <c r="E1233" s="11" t="n">
        <v>4330</v>
      </c>
      <c r="F1233" s="11" t="n">
        <v>3710</v>
      </c>
      <c r="G1233" s="12" t="n">
        <v>0.14</v>
      </c>
      <c r="H1233" s="13" t="n">
        <v>3.7</v>
      </c>
      <c r="I1233" s="11" t="n">
        <v>1662</v>
      </c>
      <c r="J1233" s="11" t="n">
        <f aca="false">E1233-F1233</f>
        <v>620</v>
      </c>
      <c r="K1233" s="10" t="str">
        <f aca="false">IF(G1233&lt;0.2,"0-19%",IF(G1233&lt;0.4,"20-39%",IF(G1233&lt;0.6,"40-59%",IF(G1233&lt;0.8,"60-79%","80%+"))))</f>
        <v>0-19%</v>
      </c>
      <c r="L1233" s="10" t="str">
        <f aca="false">IF(H1233="","No rating",IF(H1233&lt;3.5,"Below 3.5",IF(H1233&lt;4,"3.5-3.9",IF(H1233&lt;4.5,"4.0-4.4","4.5+"))))</f>
        <v>3.5-3.9</v>
      </c>
    </row>
    <row r="1234" customFormat="false" ht="15" hidden="false" customHeight="false" outlineLevel="0" collapsed="false">
      <c r="A1234" s="10" t="s">
        <v>2503</v>
      </c>
      <c r="B1234" s="10" t="s">
        <v>2504</v>
      </c>
      <c r="C1234" s="10" t="s">
        <v>1181</v>
      </c>
      <c r="D1234" s="10" t="s">
        <v>1851</v>
      </c>
      <c r="E1234" s="11" t="n">
        <v>4295</v>
      </c>
      <c r="F1234" s="11" t="n">
        <v>2033</v>
      </c>
      <c r="G1234" s="12" t="n">
        <v>0.53</v>
      </c>
      <c r="H1234" s="13" t="n">
        <v>3.4</v>
      </c>
      <c r="I1234" s="11" t="n">
        <v>422</v>
      </c>
      <c r="J1234" s="11" t="n">
        <f aca="false">E1234-F1234</f>
        <v>2262</v>
      </c>
      <c r="K1234" s="10" t="str">
        <f aca="false">IF(G1234&lt;0.2,"0-19%",IF(G1234&lt;0.4,"20-39%",IF(G1234&lt;0.6,"40-59%",IF(G1234&lt;0.8,"60-79%","80%+"))))</f>
        <v>40-59%</v>
      </c>
      <c r="L1234" s="10" t="str">
        <f aca="false">IF(H1234="","No rating",IF(H1234&lt;3.5,"Below 3.5",IF(H1234&lt;4,"3.5-3.9",IF(H1234&lt;4.5,"4.0-4.4","4.5+"))))</f>
        <v>Below 3.5</v>
      </c>
    </row>
    <row r="1235" customFormat="false" ht="15" hidden="false" customHeight="false" outlineLevel="0" collapsed="false">
      <c r="A1235" s="10" t="s">
        <v>2505</v>
      </c>
      <c r="B1235" s="10" t="s">
        <v>2506</v>
      </c>
      <c r="C1235" s="10" t="s">
        <v>1181</v>
      </c>
      <c r="D1235" s="10" t="s">
        <v>1854</v>
      </c>
      <c r="E1235" s="11" t="n">
        <v>18990</v>
      </c>
      <c r="F1235" s="11" t="n">
        <v>9495</v>
      </c>
      <c r="G1235" s="12" t="n">
        <v>0.5</v>
      </c>
      <c r="H1235" s="13" t="n">
        <v>4.2</v>
      </c>
      <c r="I1235" s="11" t="n">
        <v>79</v>
      </c>
      <c r="J1235" s="11" t="n">
        <f aca="false">E1235-F1235</f>
        <v>9495</v>
      </c>
      <c r="K1235" s="10" t="str">
        <f aca="false">IF(G1235&lt;0.2,"0-19%",IF(G1235&lt;0.4,"20-39%",IF(G1235&lt;0.6,"40-59%",IF(G1235&lt;0.8,"60-79%","80%+"))))</f>
        <v>40-59%</v>
      </c>
      <c r="L1235" s="10" t="str">
        <f aca="false">IF(H1235="","No rating",IF(H1235&lt;3.5,"Below 3.5",IF(H1235&lt;4,"3.5-3.9",IF(H1235&lt;4.5,"4.0-4.4","4.5+"))))</f>
        <v>4.0-4.4</v>
      </c>
    </row>
    <row r="1236" customFormat="false" ht="15" hidden="false" customHeight="false" outlineLevel="0" collapsed="false">
      <c r="A1236" s="10" t="s">
        <v>2507</v>
      </c>
      <c r="B1236" s="10" t="s">
        <v>2508</v>
      </c>
      <c r="C1236" s="10" t="s">
        <v>1181</v>
      </c>
      <c r="D1236" s="10" t="s">
        <v>1854</v>
      </c>
      <c r="E1236" s="11" t="n">
        <v>12500</v>
      </c>
      <c r="F1236" s="11" t="n">
        <v>7799</v>
      </c>
      <c r="G1236" s="12" t="n">
        <v>0.38</v>
      </c>
      <c r="H1236" s="13" t="n">
        <v>4</v>
      </c>
      <c r="I1236" s="11" t="n">
        <v>5160</v>
      </c>
      <c r="J1236" s="11" t="n">
        <f aca="false">E1236-F1236</f>
        <v>4701</v>
      </c>
      <c r="K1236" s="10" t="str">
        <f aca="false">IF(G1236&lt;0.2,"0-19%",IF(G1236&lt;0.4,"20-39%",IF(G1236&lt;0.6,"40-59%",IF(G1236&lt;0.8,"60-79%","80%+"))))</f>
        <v>20-39%</v>
      </c>
      <c r="L1236" s="10" t="str">
        <f aca="false">IF(H1236="","No rating",IF(H1236&lt;3.5,"Below 3.5",IF(H1236&lt;4,"3.5-3.9",IF(H1236&lt;4.5,"4.0-4.4","4.5+"))))</f>
        <v>4.0-4.4</v>
      </c>
    </row>
    <row r="1237" customFormat="false" ht="15" hidden="false" customHeight="false" outlineLevel="0" collapsed="false">
      <c r="A1237" s="10" t="s">
        <v>2509</v>
      </c>
      <c r="B1237" s="10" t="s">
        <v>2510</v>
      </c>
      <c r="C1237" s="10" t="s">
        <v>1181</v>
      </c>
      <c r="D1237" s="10" t="s">
        <v>1851</v>
      </c>
      <c r="E1237" s="11" t="n">
        <v>2385</v>
      </c>
      <c r="F1237" s="11" t="n">
        <v>949</v>
      </c>
      <c r="G1237" s="12" t="n">
        <v>0.6</v>
      </c>
      <c r="H1237" s="13" t="n">
        <v>4.1</v>
      </c>
      <c r="I1237" s="11" t="n">
        <v>2311</v>
      </c>
      <c r="J1237" s="11" t="n">
        <f aca="false">E1237-F1237</f>
        <v>1436</v>
      </c>
      <c r="K1237" s="10" t="str">
        <f aca="false">IF(G1237&lt;0.2,"0-19%",IF(G1237&lt;0.4,"20-39%",IF(G1237&lt;0.6,"40-59%",IF(G1237&lt;0.8,"60-79%","80%+"))))</f>
        <v>60-79%</v>
      </c>
      <c r="L1237" s="10" t="str">
        <f aca="false">IF(H1237="","No rating",IF(H1237&lt;3.5,"Below 3.5",IF(H1237&lt;4,"3.5-3.9",IF(H1237&lt;4.5,"4.0-4.4","4.5+"))))</f>
        <v>4.0-4.4</v>
      </c>
    </row>
    <row r="1238" customFormat="false" ht="15" hidden="false" customHeight="false" outlineLevel="0" collapsed="false">
      <c r="A1238" s="10" t="s">
        <v>2511</v>
      </c>
      <c r="B1238" s="10" t="s">
        <v>2512</v>
      </c>
      <c r="C1238" s="10" t="s">
        <v>1181</v>
      </c>
      <c r="D1238" s="10" t="s">
        <v>1854</v>
      </c>
      <c r="E1238" s="11" t="n">
        <v>4890</v>
      </c>
      <c r="F1238" s="11" t="n">
        <v>2790</v>
      </c>
      <c r="G1238" s="12" t="n">
        <v>0.43</v>
      </c>
      <c r="H1238" s="13" t="n">
        <v>3.9</v>
      </c>
      <c r="I1238" s="11" t="n">
        <v>588</v>
      </c>
      <c r="J1238" s="11" t="n">
        <f aca="false">E1238-F1238</f>
        <v>2100</v>
      </c>
      <c r="K1238" s="10" t="str">
        <f aca="false">IF(G1238&lt;0.2,"0-19%",IF(G1238&lt;0.4,"20-39%",IF(G1238&lt;0.6,"40-59%",IF(G1238&lt;0.8,"60-79%","80%+"))))</f>
        <v>40-59%</v>
      </c>
      <c r="L1238" s="10" t="str">
        <f aca="false">IF(H1238="","No rating",IF(H1238&lt;3.5,"Below 3.5",IF(H1238&lt;4,"3.5-3.9",IF(H1238&lt;4.5,"4.0-4.4","4.5+"))))</f>
        <v>3.5-3.9</v>
      </c>
    </row>
    <row r="1239" customFormat="false" ht="15" hidden="false" customHeight="false" outlineLevel="0" collapsed="false">
      <c r="A1239" s="10" t="s">
        <v>2513</v>
      </c>
      <c r="B1239" s="10" t="s">
        <v>2514</v>
      </c>
      <c r="C1239" s="10" t="s">
        <v>1181</v>
      </c>
      <c r="D1239" s="10" t="s">
        <v>1851</v>
      </c>
      <c r="E1239" s="11" t="n">
        <v>1100</v>
      </c>
      <c r="F1239" s="11" t="n">
        <v>645</v>
      </c>
      <c r="G1239" s="12" t="n">
        <v>0.41</v>
      </c>
      <c r="H1239" s="13" t="n">
        <v>4</v>
      </c>
      <c r="I1239" s="11" t="n">
        <v>3271</v>
      </c>
      <c r="J1239" s="11" t="n">
        <f aca="false">E1239-F1239</f>
        <v>455</v>
      </c>
      <c r="K1239" s="10" t="str">
        <f aca="false">IF(G1239&lt;0.2,"0-19%",IF(G1239&lt;0.4,"20-39%",IF(G1239&lt;0.6,"40-59%",IF(G1239&lt;0.8,"60-79%","80%+"))))</f>
        <v>40-59%</v>
      </c>
      <c r="L1239" s="10" t="str">
        <f aca="false">IF(H1239="","No rating",IF(H1239&lt;3.5,"Below 3.5",IF(H1239&lt;4,"3.5-3.9",IF(H1239&lt;4.5,"4.0-4.4","4.5+"))))</f>
        <v>4.0-4.4</v>
      </c>
    </row>
    <row r="1240" customFormat="false" ht="15" hidden="false" customHeight="false" outlineLevel="0" collapsed="false">
      <c r="A1240" s="10" t="s">
        <v>2515</v>
      </c>
      <c r="B1240" s="10" t="s">
        <v>2516</v>
      </c>
      <c r="C1240" s="10" t="s">
        <v>1181</v>
      </c>
      <c r="D1240" s="10" t="s">
        <v>1851</v>
      </c>
      <c r="E1240" s="11" t="n">
        <v>3899</v>
      </c>
      <c r="F1240" s="11" t="n">
        <v>2237.81</v>
      </c>
      <c r="G1240" s="12" t="n">
        <v>0.43</v>
      </c>
      <c r="H1240" s="13" t="n">
        <v>3.9</v>
      </c>
      <c r="I1240" s="11" t="n">
        <v>11004</v>
      </c>
      <c r="J1240" s="11" t="n">
        <f aca="false">E1240-F1240</f>
        <v>1661.19</v>
      </c>
      <c r="K1240" s="10" t="str">
        <f aca="false">IF(G1240&lt;0.2,"0-19%",IF(G1240&lt;0.4,"20-39%",IF(G1240&lt;0.6,"40-59%",IF(G1240&lt;0.8,"60-79%","80%+"))))</f>
        <v>40-59%</v>
      </c>
      <c r="L1240" s="10" t="str">
        <f aca="false">IF(H1240="","No rating",IF(H1240&lt;3.5,"Below 3.5",IF(H1240&lt;4,"3.5-3.9",IF(H1240&lt;4.5,"4.0-4.4","4.5+"))))</f>
        <v>3.5-3.9</v>
      </c>
    </row>
    <row r="1241" customFormat="false" ht="15" hidden="false" customHeight="false" outlineLevel="0" collapsed="false">
      <c r="A1241" s="10" t="s">
        <v>2517</v>
      </c>
      <c r="B1241" s="10" t="s">
        <v>2518</v>
      </c>
      <c r="C1241" s="10" t="s">
        <v>1181</v>
      </c>
      <c r="D1241" s="10" t="s">
        <v>1854</v>
      </c>
      <c r="E1241" s="11" t="n">
        <v>16899</v>
      </c>
      <c r="F1241" s="11" t="n">
        <v>8699</v>
      </c>
      <c r="G1241" s="12" t="n">
        <v>0.49</v>
      </c>
      <c r="H1241" s="13" t="n">
        <v>4.2</v>
      </c>
      <c r="I1241" s="11" t="n">
        <v>3195</v>
      </c>
      <c r="J1241" s="11" t="n">
        <f aca="false">E1241-F1241</f>
        <v>8200</v>
      </c>
      <c r="K1241" s="10" t="str">
        <f aca="false">IF(G1241&lt;0.2,"0-19%",IF(G1241&lt;0.4,"20-39%",IF(G1241&lt;0.6,"40-59%",IF(G1241&lt;0.8,"60-79%","80%+"))))</f>
        <v>40-59%</v>
      </c>
      <c r="L1241" s="10" t="str">
        <f aca="false">IF(H1241="","No rating",IF(H1241&lt;3.5,"Below 3.5",IF(H1241&lt;4,"3.5-3.9",IF(H1241&lt;4.5,"4.0-4.4","4.5+"))))</f>
        <v>4.0-4.4</v>
      </c>
    </row>
    <row r="1242" customFormat="false" ht="15" hidden="false" customHeight="false" outlineLevel="0" collapsed="false">
      <c r="A1242" s="10" t="s">
        <v>2519</v>
      </c>
      <c r="B1242" s="10" t="s">
        <v>2520</v>
      </c>
      <c r="C1242" s="10" t="s">
        <v>1181</v>
      </c>
      <c r="D1242" s="10" t="s">
        <v>1854</v>
      </c>
      <c r="E1242" s="11" t="n">
        <v>75990</v>
      </c>
      <c r="F1242" s="11" t="n">
        <v>42990</v>
      </c>
      <c r="G1242" s="12" t="n">
        <v>0.43</v>
      </c>
      <c r="H1242" s="13" t="n">
        <v>4.3</v>
      </c>
      <c r="I1242" s="11" t="n">
        <v>3231</v>
      </c>
      <c r="J1242" s="11" t="n">
        <f aca="false">E1242-F1242</f>
        <v>33000</v>
      </c>
      <c r="K1242" s="10" t="str">
        <f aca="false">IF(G1242&lt;0.2,"0-19%",IF(G1242&lt;0.4,"20-39%",IF(G1242&lt;0.6,"40-59%",IF(G1242&lt;0.8,"60-79%","80%+"))))</f>
        <v>40-59%</v>
      </c>
      <c r="L1242" s="10" t="str">
        <f aca="false">IF(H1242="","No rating",IF(H1242&lt;3.5,"Below 3.5",IF(H1242&lt;4,"3.5-3.9",IF(H1242&lt;4.5,"4.0-4.4","4.5+"))))</f>
        <v>4.0-4.4</v>
      </c>
    </row>
    <row r="1243" customFormat="false" ht="15" hidden="false" customHeight="false" outlineLevel="0" collapsed="false">
      <c r="A1243" s="10" t="s">
        <v>2521</v>
      </c>
      <c r="B1243" s="10" t="s">
        <v>2522</v>
      </c>
      <c r="C1243" s="10" t="s">
        <v>1181</v>
      </c>
      <c r="D1243" s="10" t="s">
        <v>1851</v>
      </c>
      <c r="E1243" s="11" t="n">
        <v>825</v>
      </c>
      <c r="F1243" s="11" t="n">
        <v>825</v>
      </c>
      <c r="G1243" s="12" t="n">
        <v>0</v>
      </c>
      <c r="H1243" s="13" t="n">
        <v>4</v>
      </c>
      <c r="I1243" s="11" t="n">
        <v>3246</v>
      </c>
      <c r="J1243" s="11" t="n">
        <f aca="false">E1243-F1243</f>
        <v>0</v>
      </c>
      <c r="K1243" s="10" t="str">
        <f aca="false">IF(G1243&lt;0.2,"0-19%",IF(G1243&lt;0.4,"20-39%",IF(G1243&lt;0.6,"40-59%",IF(G1243&lt;0.8,"60-79%","80%+"))))</f>
        <v>0-19%</v>
      </c>
      <c r="L1243" s="10" t="str">
        <f aca="false">IF(H1243="","No rating",IF(H1243&lt;3.5,"Below 3.5",IF(H1243&lt;4,"3.5-3.9",IF(H1243&lt;4.5,"4.0-4.4","4.5+"))))</f>
        <v>4.0-4.4</v>
      </c>
    </row>
    <row r="1244" customFormat="false" ht="15" hidden="false" customHeight="false" outlineLevel="0" collapsed="false">
      <c r="A1244" s="10" t="s">
        <v>2523</v>
      </c>
      <c r="B1244" s="10" t="s">
        <v>2524</v>
      </c>
      <c r="C1244" s="10" t="s">
        <v>1181</v>
      </c>
      <c r="D1244" s="10" t="s">
        <v>1851</v>
      </c>
      <c r="E1244" s="11" t="n">
        <v>300</v>
      </c>
      <c r="F1244" s="11" t="n">
        <v>161</v>
      </c>
      <c r="G1244" s="12" t="n">
        <v>0.46</v>
      </c>
      <c r="H1244" s="13" t="n">
        <v>2.6</v>
      </c>
      <c r="I1244" s="11" t="n">
        <v>24</v>
      </c>
      <c r="J1244" s="11" t="n">
        <f aca="false">E1244-F1244</f>
        <v>139</v>
      </c>
      <c r="K1244" s="10" t="str">
        <f aca="false">IF(G1244&lt;0.2,"0-19%",IF(G1244&lt;0.4,"20-39%",IF(G1244&lt;0.6,"40-59%",IF(G1244&lt;0.8,"60-79%","80%+"))))</f>
        <v>40-59%</v>
      </c>
      <c r="L1244" s="10" t="str">
        <f aca="false">IF(H1244="","No rating",IF(H1244&lt;3.5,"Below 3.5",IF(H1244&lt;4,"3.5-3.9",IF(H1244&lt;4.5,"4.0-4.4","4.5+"))))</f>
        <v>Below 3.5</v>
      </c>
    </row>
    <row r="1245" customFormat="false" ht="15" hidden="false" customHeight="false" outlineLevel="0" collapsed="false">
      <c r="A1245" s="10" t="s">
        <v>2525</v>
      </c>
      <c r="B1245" s="10" t="s">
        <v>2526</v>
      </c>
      <c r="C1245" s="10" t="s">
        <v>1181</v>
      </c>
      <c r="D1245" s="10" t="s">
        <v>1851</v>
      </c>
      <c r="E1245" s="11" t="n">
        <v>1499</v>
      </c>
      <c r="F1245" s="11" t="n">
        <v>697</v>
      </c>
      <c r="G1245" s="12" t="n">
        <v>0.54</v>
      </c>
      <c r="H1245" s="13" t="n">
        <v>3.8</v>
      </c>
      <c r="I1245" s="11" t="n">
        <v>144</v>
      </c>
      <c r="J1245" s="11" t="n">
        <f aca="false">E1245-F1245</f>
        <v>802</v>
      </c>
      <c r="K1245" s="10" t="str">
        <f aca="false">IF(G1245&lt;0.2,"0-19%",IF(G1245&lt;0.4,"20-39%",IF(G1245&lt;0.6,"40-59%",IF(G1245&lt;0.8,"60-79%","80%+"))))</f>
        <v>40-59%</v>
      </c>
      <c r="L1245" s="10" t="str">
        <f aca="false">IF(H1245="","No rating",IF(H1245&lt;3.5,"Below 3.5",IF(H1245&lt;4,"3.5-3.9",IF(H1245&lt;4.5,"4.0-4.4","4.5+"))))</f>
        <v>3.5-3.9</v>
      </c>
    </row>
    <row r="1246" customFormat="false" ht="15" hidden="false" customHeight="false" outlineLevel="0" collapsed="false">
      <c r="A1246" s="10" t="s">
        <v>2527</v>
      </c>
      <c r="B1246" s="10" t="s">
        <v>2528</v>
      </c>
      <c r="C1246" s="10" t="s">
        <v>1181</v>
      </c>
      <c r="D1246" s="10" t="s">
        <v>1851</v>
      </c>
      <c r="E1246" s="11" t="n">
        <v>747</v>
      </c>
      <c r="F1246" s="11" t="n">
        <v>688</v>
      </c>
      <c r="G1246" s="12" t="n">
        <v>0.08</v>
      </c>
      <c r="H1246" s="13" t="n">
        <v>4.5</v>
      </c>
      <c r="I1246" s="11" t="n">
        <v>2280</v>
      </c>
      <c r="J1246" s="11" t="n">
        <f aca="false">E1246-F1246</f>
        <v>59</v>
      </c>
      <c r="K1246" s="10" t="str">
        <f aca="false">IF(G1246&lt;0.2,"0-19%",IF(G1246&lt;0.4,"20-39%",IF(G1246&lt;0.6,"40-59%",IF(G1246&lt;0.8,"60-79%","80%+"))))</f>
        <v>0-19%</v>
      </c>
      <c r="L1246" s="10" t="str">
        <f aca="false">IF(H1246="","No rating",IF(H1246&lt;3.5,"Below 3.5",IF(H1246&lt;4,"3.5-3.9",IF(H1246&lt;4.5,"4.0-4.4","4.5+"))))</f>
        <v>4.5+</v>
      </c>
    </row>
    <row r="1247" customFormat="false" ht="15" hidden="false" customHeight="false" outlineLevel="0" collapsed="false">
      <c r="A1247" s="10" t="s">
        <v>2529</v>
      </c>
      <c r="B1247" s="10" t="s">
        <v>2530</v>
      </c>
      <c r="C1247" s="10" t="s">
        <v>1181</v>
      </c>
      <c r="D1247" s="10" t="s">
        <v>1854</v>
      </c>
      <c r="E1247" s="11" t="n">
        <v>3999</v>
      </c>
      <c r="F1247" s="11" t="n">
        <v>2199</v>
      </c>
      <c r="G1247" s="12" t="n">
        <v>0.45</v>
      </c>
      <c r="H1247" s="13" t="n">
        <v>3.5</v>
      </c>
      <c r="I1247" s="11" t="n">
        <v>340</v>
      </c>
      <c r="J1247" s="11" t="n">
        <f aca="false">E1247-F1247</f>
        <v>1800</v>
      </c>
      <c r="K1247" s="10" t="str">
        <f aca="false">IF(G1247&lt;0.2,"0-19%",IF(G1247&lt;0.4,"20-39%",IF(G1247&lt;0.6,"40-59%",IF(G1247&lt;0.8,"60-79%","80%+"))))</f>
        <v>40-59%</v>
      </c>
      <c r="L1247" s="10" t="str">
        <f aca="false">IF(H1247="","No rating",IF(H1247&lt;3.5,"Below 3.5",IF(H1247&lt;4,"3.5-3.9",IF(H1247&lt;4.5,"4.0-4.4","4.5+"))))</f>
        <v>3.5-3.9</v>
      </c>
    </row>
    <row r="1248" customFormat="false" ht="15" hidden="false" customHeight="false" outlineLevel="0" collapsed="false">
      <c r="A1248" s="10" t="s">
        <v>2531</v>
      </c>
      <c r="B1248" s="10" t="s">
        <v>2532</v>
      </c>
      <c r="C1248" s="10" t="s">
        <v>1181</v>
      </c>
      <c r="D1248" s="10" t="s">
        <v>1854</v>
      </c>
      <c r="E1248" s="11" t="n">
        <v>11990</v>
      </c>
      <c r="F1248" s="11" t="n">
        <v>6850</v>
      </c>
      <c r="G1248" s="12" t="n">
        <v>0.43</v>
      </c>
      <c r="H1248" s="13" t="n">
        <v>3.9</v>
      </c>
      <c r="I1248" s="11" t="n">
        <v>144</v>
      </c>
      <c r="J1248" s="11" t="n">
        <f aca="false">E1248-F1248</f>
        <v>5140</v>
      </c>
      <c r="K1248" s="10" t="str">
        <f aca="false">IF(G1248&lt;0.2,"0-19%",IF(G1248&lt;0.4,"20-39%",IF(G1248&lt;0.6,"40-59%",IF(G1248&lt;0.8,"60-79%","80%+"))))</f>
        <v>40-59%</v>
      </c>
      <c r="L1248" s="10" t="str">
        <f aca="false">IF(H1248="","No rating",IF(H1248&lt;3.5,"Below 3.5",IF(H1248&lt;4,"3.5-3.9",IF(H1248&lt;4.5,"4.0-4.4","4.5+"))))</f>
        <v>3.5-3.9</v>
      </c>
    </row>
    <row r="1249" customFormat="false" ht="15" hidden="false" customHeight="false" outlineLevel="0" collapsed="false">
      <c r="A1249" s="10" t="s">
        <v>2533</v>
      </c>
      <c r="B1249" s="10" t="s">
        <v>2534</v>
      </c>
      <c r="C1249" s="10" t="s">
        <v>1181</v>
      </c>
      <c r="D1249" s="10" t="s">
        <v>1854</v>
      </c>
      <c r="E1249" s="11" t="n">
        <v>3799</v>
      </c>
      <c r="F1249" s="11" t="n">
        <v>2699</v>
      </c>
      <c r="G1249" s="12" t="n">
        <v>0.29</v>
      </c>
      <c r="H1249" s="13" t="n">
        <v>4</v>
      </c>
      <c r="I1249" s="11" t="n">
        <v>727</v>
      </c>
      <c r="J1249" s="11" t="n">
        <f aca="false">E1249-F1249</f>
        <v>1100</v>
      </c>
      <c r="K1249" s="10" t="str">
        <f aca="false">IF(G1249&lt;0.2,"0-19%",IF(G1249&lt;0.4,"20-39%",IF(G1249&lt;0.6,"40-59%",IF(G1249&lt;0.8,"60-79%","80%+"))))</f>
        <v>20-39%</v>
      </c>
      <c r="L1249" s="10" t="str">
        <f aca="false">IF(H1249="","No rating",IF(H1249&lt;3.5,"Below 3.5",IF(H1249&lt;4,"3.5-3.9",IF(H1249&lt;4.5,"4.0-4.4","4.5+"))))</f>
        <v>4.0-4.4</v>
      </c>
    </row>
    <row r="1250" customFormat="false" ht="15" hidden="false" customHeight="false" outlineLevel="0" collapsed="false">
      <c r="A1250" s="10" t="s">
        <v>2535</v>
      </c>
      <c r="B1250" s="10" t="s">
        <v>2536</v>
      </c>
      <c r="C1250" s="10" t="s">
        <v>1181</v>
      </c>
      <c r="D1250" s="10" t="s">
        <v>1851</v>
      </c>
      <c r="E1250" s="11" t="n">
        <v>1999</v>
      </c>
      <c r="F1250" s="11" t="n">
        <v>899</v>
      </c>
      <c r="G1250" s="12" t="n">
        <v>0.55</v>
      </c>
      <c r="H1250" s="13" t="n">
        <v>4</v>
      </c>
      <c r="I1250" s="11" t="n">
        <v>832</v>
      </c>
      <c r="J1250" s="11" t="n">
        <f aca="false">E1250-F1250</f>
        <v>1100</v>
      </c>
      <c r="K1250" s="10" t="str">
        <f aca="false">IF(G1250&lt;0.2,"0-19%",IF(G1250&lt;0.4,"20-39%",IF(G1250&lt;0.6,"40-59%",IF(G1250&lt;0.8,"60-79%","80%+"))))</f>
        <v>40-59%</v>
      </c>
      <c r="L1250" s="10" t="str">
        <f aca="false">IF(H1250="","No rating",IF(H1250&lt;3.5,"Below 3.5",IF(H1250&lt;4,"3.5-3.9",IF(H1250&lt;4.5,"4.0-4.4","4.5+"))))</f>
        <v>4.0-4.4</v>
      </c>
    </row>
    <row r="1251" customFormat="false" ht="15" hidden="false" customHeight="false" outlineLevel="0" collapsed="false">
      <c r="A1251" s="10" t="s">
        <v>2537</v>
      </c>
      <c r="B1251" s="10" t="s">
        <v>2538</v>
      </c>
      <c r="C1251" s="10" t="s">
        <v>1181</v>
      </c>
      <c r="D1251" s="10" t="s">
        <v>1854</v>
      </c>
      <c r="E1251" s="11" t="n">
        <v>2999</v>
      </c>
      <c r="F1251" s="11" t="n">
        <v>1090</v>
      </c>
      <c r="G1251" s="12" t="n">
        <v>0.64</v>
      </c>
      <c r="H1251" s="13" t="n">
        <v>3.5</v>
      </c>
      <c r="I1251" s="11" t="n">
        <v>57</v>
      </c>
      <c r="J1251" s="11" t="n">
        <f aca="false">E1251-F1251</f>
        <v>1909</v>
      </c>
      <c r="K1251" s="10" t="str">
        <f aca="false">IF(G1251&lt;0.2,"0-19%",IF(G1251&lt;0.4,"20-39%",IF(G1251&lt;0.6,"40-59%",IF(G1251&lt;0.8,"60-79%","80%+"))))</f>
        <v>60-79%</v>
      </c>
      <c r="L1251" s="10" t="str">
        <f aca="false">IF(H1251="","No rating",IF(H1251&lt;3.5,"Below 3.5",IF(H1251&lt;4,"3.5-3.9",IF(H1251&lt;4.5,"4.0-4.4","4.5+"))))</f>
        <v>3.5-3.9</v>
      </c>
    </row>
    <row r="1252" customFormat="false" ht="15" hidden="false" customHeight="false" outlineLevel="0" collapsed="false">
      <c r="A1252" s="10" t="s">
        <v>2539</v>
      </c>
      <c r="B1252" s="10" t="s">
        <v>2540</v>
      </c>
      <c r="C1252" s="10" t="s">
        <v>1181</v>
      </c>
      <c r="D1252" s="10" t="s">
        <v>1851</v>
      </c>
      <c r="E1252" s="11" t="n">
        <v>599</v>
      </c>
      <c r="F1252" s="11" t="n">
        <v>295</v>
      </c>
      <c r="G1252" s="12" t="n">
        <v>0.51</v>
      </c>
      <c r="H1252" s="13" t="n">
        <v>4</v>
      </c>
      <c r="I1252" s="11" t="n">
        <v>1644</v>
      </c>
      <c r="J1252" s="11" t="n">
        <f aca="false">E1252-F1252</f>
        <v>304</v>
      </c>
      <c r="K1252" s="10" t="str">
        <f aca="false">IF(G1252&lt;0.2,"0-19%",IF(G1252&lt;0.4,"20-39%",IF(G1252&lt;0.6,"40-59%",IF(G1252&lt;0.8,"60-79%","80%+"))))</f>
        <v>40-59%</v>
      </c>
      <c r="L1252" s="10" t="str">
        <f aca="false">IF(H1252="","No rating",IF(H1252&lt;3.5,"Below 3.5",IF(H1252&lt;4,"3.5-3.9",IF(H1252&lt;4.5,"4.0-4.4","4.5+"))))</f>
        <v>4.0-4.4</v>
      </c>
    </row>
    <row r="1253" customFormat="false" ht="15" hidden="false" customHeight="false" outlineLevel="0" collapsed="false">
      <c r="A1253" s="10" t="s">
        <v>2541</v>
      </c>
      <c r="B1253" s="10" t="s">
        <v>2542</v>
      </c>
      <c r="C1253" s="10" t="s">
        <v>1181</v>
      </c>
      <c r="D1253" s="10" t="s">
        <v>1851</v>
      </c>
      <c r="E1253" s="11" t="n">
        <v>1999</v>
      </c>
      <c r="F1253" s="11" t="n">
        <v>479</v>
      </c>
      <c r="G1253" s="12" t="n">
        <v>0.76</v>
      </c>
      <c r="H1253" s="13" t="n">
        <v>3.4</v>
      </c>
      <c r="I1253" s="11" t="n">
        <v>1066</v>
      </c>
      <c r="J1253" s="11" t="n">
        <f aca="false">E1253-F1253</f>
        <v>1520</v>
      </c>
      <c r="K1253" s="10" t="str">
        <f aca="false">IF(G1253&lt;0.2,"0-19%",IF(G1253&lt;0.4,"20-39%",IF(G1253&lt;0.6,"40-59%",IF(G1253&lt;0.8,"60-79%","80%+"))))</f>
        <v>60-79%</v>
      </c>
      <c r="L1253" s="10" t="str">
        <f aca="false">IF(H1253="","No rating",IF(H1253&lt;3.5,"Below 3.5",IF(H1253&lt;4,"3.5-3.9",IF(H1253&lt;4.5,"4.0-4.4","4.5+"))))</f>
        <v>Below 3.5</v>
      </c>
    </row>
    <row r="1254" customFormat="false" ht="15" hidden="false" customHeight="false" outlineLevel="0" collapsed="false">
      <c r="A1254" s="10" t="s">
        <v>2543</v>
      </c>
      <c r="B1254" s="10" t="s">
        <v>2544</v>
      </c>
      <c r="C1254" s="10" t="s">
        <v>1181</v>
      </c>
      <c r="D1254" s="10" t="s">
        <v>1854</v>
      </c>
      <c r="E1254" s="11" t="n">
        <v>4849</v>
      </c>
      <c r="F1254" s="11" t="n">
        <v>2949</v>
      </c>
      <c r="G1254" s="12" t="n">
        <v>0.39</v>
      </c>
      <c r="H1254" s="13" t="n">
        <v>4.2</v>
      </c>
      <c r="I1254" s="11" t="n">
        <v>7968</v>
      </c>
      <c r="J1254" s="11" t="n">
        <f aca="false">E1254-F1254</f>
        <v>1900</v>
      </c>
      <c r="K1254" s="10" t="str">
        <f aca="false">IF(G1254&lt;0.2,"0-19%",IF(G1254&lt;0.4,"20-39%",IF(G1254&lt;0.6,"40-59%",IF(G1254&lt;0.8,"60-79%","80%+"))))</f>
        <v>20-39%</v>
      </c>
      <c r="L1254" s="10" t="str">
        <f aca="false">IF(H1254="","No rating",IF(H1254&lt;3.5,"Below 3.5",IF(H1254&lt;4,"3.5-3.9",IF(H1254&lt;4.5,"4.0-4.4","4.5+"))))</f>
        <v>4.0-4.4</v>
      </c>
    </row>
    <row r="1255" customFormat="false" ht="15" hidden="false" customHeight="false" outlineLevel="0" collapsed="false">
      <c r="A1255" s="10" t="s">
        <v>2545</v>
      </c>
      <c r="B1255" s="10" t="s">
        <v>2546</v>
      </c>
      <c r="C1255" s="10" t="s">
        <v>1181</v>
      </c>
      <c r="D1255" s="10" t="s">
        <v>1854</v>
      </c>
      <c r="E1255" s="11" t="n">
        <v>510</v>
      </c>
      <c r="F1255" s="11" t="n">
        <v>335</v>
      </c>
      <c r="G1255" s="12" t="n">
        <v>0.34</v>
      </c>
      <c r="H1255" s="13" t="n">
        <v>3.8</v>
      </c>
      <c r="I1255" s="11" t="n">
        <v>3195</v>
      </c>
      <c r="J1255" s="11" t="n">
        <f aca="false">E1255-F1255</f>
        <v>175</v>
      </c>
      <c r="K1255" s="10" t="str">
        <f aca="false">IF(G1255&lt;0.2,"0-19%",IF(G1255&lt;0.4,"20-39%",IF(G1255&lt;0.6,"40-59%",IF(G1255&lt;0.8,"60-79%","80%+"))))</f>
        <v>20-39%</v>
      </c>
      <c r="L1255" s="10" t="str">
        <f aca="false">IF(H1255="","No rating",IF(H1255&lt;3.5,"Below 3.5",IF(H1255&lt;4,"3.5-3.9",IF(H1255&lt;4.5,"4.0-4.4","4.5+"))))</f>
        <v>3.5-3.9</v>
      </c>
    </row>
    <row r="1256" customFormat="false" ht="15" hidden="false" customHeight="false" outlineLevel="0" collapsed="false">
      <c r="A1256" s="10" t="s">
        <v>2547</v>
      </c>
      <c r="B1256" s="10" t="s">
        <v>2548</v>
      </c>
      <c r="C1256" s="10" t="s">
        <v>1181</v>
      </c>
      <c r="D1256" s="10" t="s">
        <v>1851</v>
      </c>
      <c r="E1256" s="11" t="n">
        <v>499</v>
      </c>
      <c r="F1256" s="11" t="n">
        <v>293</v>
      </c>
      <c r="G1256" s="12" t="n">
        <v>0.41</v>
      </c>
      <c r="H1256" s="13" t="n">
        <v>4.1</v>
      </c>
      <c r="I1256" s="11" t="n">
        <v>1456</v>
      </c>
      <c r="J1256" s="11" t="n">
        <f aca="false">E1256-F1256</f>
        <v>206</v>
      </c>
      <c r="K1256" s="10" t="str">
        <f aca="false">IF(G1256&lt;0.2,"0-19%",IF(G1256&lt;0.4,"20-39%",IF(G1256&lt;0.6,"40-59%",IF(G1256&lt;0.8,"60-79%","80%+"))))</f>
        <v>40-59%</v>
      </c>
      <c r="L1256" s="10" t="str">
        <f aca="false">IF(H1256="","No rating",IF(H1256&lt;3.5,"Below 3.5",IF(H1256&lt;4,"3.5-3.9",IF(H1256&lt;4.5,"4.0-4.4","4.5+"))))</f>
        <v>4.0-4.4</v>
      </c>
    </row>
    <row r="1257" customFormat="false" ht="15" hidden="false" customHeight="false" outlineLevel="0" collapsed="false">
      <c r="A1257" s="10" t="s">
        <v>2549</v>
      </c>
      <c r="B1257" s="10" t="s">
        <v>2550</v>
      </c>
      <c r="C1257" s="10" t="s">
        <v>1181</v>
      </c>
      <c r="D1257" s="10" t="s">
        <v>1851</v>
      </c>
      <c r="E1257" s="11" t="n">
        <v>1299</v>
      </c>
      <c r="F1257" s="11" t="n">
        <v>599</v>
      </c>
      <c r="G1257" s="12" t="n">
        <v>0.54</v>
      </c>
      <c r="H1257" s="13" t="n">
        <v>4.2</v>
      </c>
      <c r="I1257" s="11" t="n">
        <v>590</v>
      </c>
      <c r="J1257" s="11" t="n">
        <f aca="false">E1257-F1257</f>
        <v>700</v>
      </c>
      <c r="K1257" s="10" t="str">
        <f aca="false">IF(G1257&lt;0.2,"0-19%",IF(G1257&lt;0.4,"20-39%",IF(G1257&lt;0.6,"40-59%",IF(G1257&lt;0.8,"60-79%","80%+"))))</f>
        <v>40-59%</v>
      </c>
      <c r="L1257" s="10" t="str">
        <f aca="false">IF(H1257="","No rating",IF(H1257&lt;3.5,"Below 3.5",IF(H1257&lt;4,"3.5-3.9",IF(H1257&lt;4.5,"4.0-4.4","4.5+"))))</f>
        <v>4.0-4.4</v>
      </c>
    </row>
    <row r="1258" customFormat="false" ht="15" hidden="false" customHeight="false" outlineLevel="0" collapsed="false">
      <c r="A1258" s="10" t="s">
        <v>2551</v>
      </c>
      <c r="B1258" s="10" t="s">
        <v>2552</v>
      </c>
      <c r="C1258" s="10" t="s">
        <v>1181</v>
      </c>
      <c r="D1258" s="10" t="s">
        <v>1851</v>
      </c>
      <c r="E1258" s="11" t="n">
        <v>999</v>
      </c>
      <c r="F1258" s="11" t="n">
        <v>499</v>
      </c>
      <c r="G1258" s="12" t="n">
        <v>0.5</v>
      </c>
      <c r="H1258" s="13" t="n">
        <v>4.3</v>
      </c>
      <c r="I1258" s="11" t="n">
        <v>1436</v>
      </c>
      <c r="J1258" s="11" t="n">
        <f aca="false">E1258-F1258</f>
        <v>500</v>
      </c>
      <c r="K1258" s="10" t="str">
        <f aca="false">IF(G1258&lt;0.2,"0-19%",IF(G1258&lt;0.4,"20-39%",IF(G1258&lt;0.6,"40-59%",IF(G1258&lt;0.8,"60-79%","80%+"))))</f>
        <v>40-59%</v>
      </c>
      <c r="L1258" s="10" t="str">
        <f aca="false">IF(H1258="","No rating",IF(H1258&lt;3.5,"Below 3.5",IF(H1258&lt;4,"3.5-3.9",IF(H1258&lt;4.5,"4.0-4.4","4.5+"))))</f>
        <v>4.0-4.4</v>
      </c>
    </row>
    <row r="1259" customFormat="false" ht="15" hidden="false" customHeight="false" outlineLevel="0" collapsed="false">
      <c r="A1259" s="10" t="s">
        <v>2553</v>
      </c>
      <c r="B1259" s="10" t="s">
        <v>2554</v>
      </c>
      <c r="C1259" s="10" t="s">
        <v>1181</v>
      </c>
      <c r="D1259" s="10" t="s">
        <v>1851</v>
      </c>
      <c r="E1259" s="11" t="n">
        <v>1190</v>
      </c>
      <c r="F1259" s="11" t="n">
        <v>849</v>
      </c>
      <c r="G1259" s="12" t="n">
        <v>0.29</v>
      </c>
      <c r="H1259" s="13" t="n">
        <v>4.2</v>
      </c>
      <c r="I1259" s="11" t="n">
        <v>4184</v>
      </c>
      <c r="J1259" s="11" t="n">
        <f aca="false">E1259-F1259</f>
        <v>341</v>
      </c>
      <c r="K1259" s="10" t="str">
        <f aca="false">IF(G1259&lt;0.2,"0-19%",IF(G1259&lt;0.4,"20-39%",IF(G1259&lt;0.6,"40-59%",IF(G1259&lt;0.8,"60-79%","80%+"))))</f>
        <v>20-39%</v>
      </c>
      <c r="L1259" s="10" t="str">
        <f aca="false">IF(H1259="","No rating",IF(H1259&lt;3.5,"Below 3.5",IF(H1259&lt;4,"3.5-3.9",IF(H1259&lt;4.5,"4.0-4.4","4.5+"))))</f>
        <v>4.0-4.4</v>
      </c>
    </row>
    <row r="1260" customFormat="false" ht="15" hidden="false" customHeight="false" outlineLevel="0" collapsed="false">
      <c r="A1260" s="10" t="s">
        <v>2555</v>
      </c>
      <c r="B1260" s="10" t="s">
        <v>2556</v>
      </c>
      <c r="C1260" s="10" t="s">
        <v>1181</v>
      </c>
      <c r="D1260" s="10" t="s">
        <v>1851</v>
      </c>
      <c r="E1260" s="11" t="n">
        <v>400</v>
      </c>
      <c r="F1260" s="11" t="n">
        <v>249</v>
      </c>
      <c r="G1260" s="12" t="n">
        <v>0.38</v>
      </c>
      <c r="H1260" s="13" t="n">
        <v>4.1</v>
      </c>
      <c r="I1260" s="11" t="n">
        <v>693</v>
      </c>
      <c r="J1260" s="11" t="n">
        <f aca="false">E1260-F1260</f>
        <v>151</v>
      </c>
      <c r="K1260" s="10" t="str">
        <f aca="false">IF(G1260&lt;0.2,"0-19%",IF(G1260&lt;0.4,"20-39%",IF(G1260&lt;0.6,"40-59%",IF(G1260&lt;0.8,"60-79%","80%+"))))</f>
        <v>20-39%</v>
      </c>
      <c r="L1260" s="10" t="str">
        <f aca="false">IF(H1260="","No rating",IF(H1260&lt;3.5,"Below 3.5",IF(H1260&lt;4,"3.5-3.9",IF(H1260&lt;4.5,"4.0-4.4","4.5+"))))</f>
        <v>4.0-4.4</v>
      </c>
    </row>
    <row r="1261" customFormat="false" ht="15" hidden="false" customHeight="false" outlineLevel="0" collapsed="false">
      <c r="A1261" s="10" t="s">
        <v>2557</v>
      </c>
      <c r="B1261" s="10" t="s">
        <v>2558</v>
      </c>
      <c r="C1261" s="10" t="s">
        <v>1181</v>
      </c>
      <c r="D1261" s="10" t="s">
        <v>1851</v>
      </c>
      <c r="E1261" s="11" t="n">
        <v>599</v>
      </c>
      <c r="F1261" s="11" t="n">
        <v>185</v>
      </c>
      <c r="G1261" s="12" t="n">
        <v>0.69</v>
      </c>
      <c r="H1261" s="13" t="n">
        <v>3.9</v>
      </c>
      <c r="I1261" s="11" t="n">
        <v>1306</v>
      </c>
      <c r="J1261" s="11" t="n">
        <f aca="false">E1261-F1261</f>
        <v>414</v>
      </c>
      <c r="K1261" s="10" t="str">
        <f aca="false">IF(G1261&lt;0.2,"0-19%",IF(G1261&lt;0.4,"20-39%",IF(G1261&lt;0.6,"40-59%",IF(G1261&lt;0.8,"60-79%","80%+"))))</f>
        <v>60-79%</v>
      </c>
      <c r="L1261" s="10" t="str">
        <f aca="false">IF(H1261="","No rating",IF(H1261&lt;3.5,"Below 3.5",IF(H1261&lt;4,"3.5-3.9",IF(H1261&lt;4.5,"4.0-4.4","4.5+"))))</f>
        <v>3.5-3.9</v>
      </c>
    </row>
    <row r="1262" customFormat="false" ht="15" hidden="false" customHeight="false" outlineLevel="0" collapsed="false">
      <c r="A1262" s="10" t="s">
        <v>2559</v>
      </c>
      <c r="B1262" s="10" t="s">
        <v>2560</v>
      </c>
      <c r="C1262" s="10" t="s">
        <v>1181</v>
      </c>
      <c r="D1262" s="10" t="s">
        <v>1854</v>
      </c>
      <c r="E1262" s="11" t="n">
        <v>999</v>
      </c>
      <c r="F1262" s="11" t="n">
        <v>778</v>
      </c>
      <c r="G1262" s="12" t="n">
        <v>0.22</v>
      </c>
      <c r="H1262" s="13" t="n">
        <v>3.3</v>
      </c>
      <c r="I1262" s="11" t="n">
        <v>8</v>
      </c>
      <c r="J1262" s="11" t="n">
        <f aca="false">E1262-F1262</f>
        <v>221</v>
      </c>
      <c r="K1262" s="10" t="str">
        <f aca="false">IF(G1262&lt;0.2,"0-19%",IF(G1262&lt;0.4,"20-39%",IF(G1262&lt;0.6,"40-59%",IF(G1262&lt;0.8,"60-79%","80%+"))))</f>
        <v>20-39%</v>
      </c>
      <c r="L1262" s="10" t="str">
        <f aca="false">IF(H1262="","No rating",IF(H1262&lt;3.5,"Below 3.5",IF(H1262&lt;4,"3.5-3.9",IF(H1262&lt;4.5,"4.0-4.4","4.5+"))))</f>
        <v>Below 3.5</v>
      </c>
    </row>
    <row r="1263" customFormat="false" ht="15" hidden="false" customHeight="false" outlineLevel="0" collapsed="false">
      <c r="A1263" s="10" t="s">
        <v>2561</v>
      </c>
      <c r="B1263" s="10" t="s">
        <v>2562</v>
      </c>
      <c r="C1263" s="10" t="s">
        <v>1181</v>
      </c>
      <c r="D1263" s="10" t="s">
        <v>1851</v>
      </c>
      <c r="E1263" s="11" t="n">
        <v>699</v>
      </c>
      <c r="F1263" s="11" t="n">
        <v>279</v>
      </c>
      <c r="G1263" s="12" t="n">
        <v>0.6</v>
      </c>
      <c r="H1263" s="13" t="n">
        <v>4.3</v>
      </c>
      <c r="I1263" s="11" t="n">
        <v>2326</v>
      </c>
      <c r="J1263" s="11" t="n">
        <f aca="false">E1263-F1263</f>
        <v>420</v>
      </c>
      <c r="K1263" s="10" t="str">
        <f aca="false">IF(G1263&lt;0.2,"0-19%",IF(G1263&lt;0.4,"20-39%",IF(G1263&lt;0.6,"40-59%",IF(G1263&lt;0.8,"60-79%","80%+"))))</f>
        <v>60-79%</v>
      </c>
      <c r="L1263" s="10" t="str">
        <f aca="false">IF(H1263="","No rating",IF(H1263&lt;3.5,"Below 3.5",IF(H1263&lt;4,"3.5-3.9",IF(H1263&lt;4.5,"4.0-4.4","4.5+"))))</f>
        <v>4.0-4.4</v>
      </c>
    </row>
    <row r="1264" customFormat="false" ht="15" hidden="false" customHeight="false" outlineLevel="0" collapsed="false">
      <c r="A1264" s="10" t="s">
        <v>2563</v>
      </c>
      <c r="B1264" s="10" t="s">
        <v>2564</v>
      </c>
      <c r="C1264" s="10" t="s">
        <v>1181</v>
      </c>
      <c r="D1264" s="10" t="s">
        <v>1851</v>
      </c>
      <c r="E1264" s="11" t="n">
        <v>1499</v>
      </c>
      <c r="F1264" s="11" t="n">
        <v>215</v>
      </c>
      <c r="G1264" s="12" t="n">
        <v>0.86</v>
      </c>
      <c r="H1264" s="13" t="n">
        <v>3.9</v>
      </c>
      <c r="I1264" s="11" t="n">
        <v>1004</v>
      </c>
      <c r="J1264" s="11" t="n">
        <f aca="false">E1264-F1264</f>
        <v>1284</v>
      </c>
      <c r="K1264" s="10" t="str">
        <f aca="false">IF(G1264&lt;0.2,"0-19%",IF(G1264&lt;0.4,"20-39%",IF(G1264&lt;0.6,"40-59%",IF(G1264&lt;0.8,"60-79%","80%+"))))</f>
        <v>80%+</v>
      </c>
      <c r="L1264" s="10" t="str">
        <f aca="false">IF(H1264="","No rating",IF(H1264&lt;3.5,"Below 3.5",IF(H1264&lt;4,"3.5-3.9",IF(H1264&lt;4.5,"4.0-4.4","4.5+"))))</f>
        <v>3.5-3.9</v>
      </c>
    </row>
    <row r="1265" customFormat="false" ht="15" hidden="false" customHeight="false" outlineLevel="0" collapsed="false">
      <c r="A1265" s="10" t="s">
        <v>2565</v>
      </c>
      <c r="B1265" s="10" t="s">
        <v>2566</v>
      </c>
      <c r="C1265" s="10" t="s">
        <v>1181</v>
      </c>
      <c r="D1265" s="10" t="s">
        <v>1851</v>
      </c>
      <c r="E1265" s="11" t="n">
        <v>1295</v>
      </c>
      <c r="F1265" s="11" t="n">
        <v>889</v>
      </c>
      <c r="G1265" s="12" t="n">
        <v>0.31</v>
      </c>
      <c r="H1265" s="13" t="n">
        <v>4.3</v>
      </c>
      <c r="I1265" s="11" t="n">
        <v>6400</v>
      </c>
      <c r="J1265" s="11" t="n">
        <f aca="false">E1265-F1265</f>
        <v>406</v>
      </c>
      <c r="K1265" s="10" t="str">
        <f aca="false">IF(G1265&lt;0.2,"0-19%",IF(G1265&lt;0.4,"20-39%",IF(G1265&lt;0.6,"40-59%",IF(G1265&lt;0.8,"60-79%","80%+"))))</f>
        <v>20-39%</v>
      </c>
      <c r="L1265" s="10" t="str">
        <f aca="false">IF(H1265="","No rating",IF(H1265&lt;3.5,"Below 3.5",IF(H1265&lt;4,"3.5-3.9",IF(H1265&lt;4.5,"4.0-4.4","4.5+"))))</f>
        <v>4.0-4.4</v>
      </c>
    </row>
    <row r="1266" customFormat="false" ht="15" hidden="false" customHeight="false" outlineLevel="0" collapsed="false">
      <c r="A1266" s="10" t="s">
        <v>2567</v>
      </c>
      <c r="B1266" s="10" t="s">
        <v>2568</v>
      </c>
      <c r="C1266" s="10" t="s">
        <v>1181</v>
      </c>
      <c r="D1266" s="10" t="s">
        <v>1854</v>
      </c>
      <c r="E1266" s="11" t="n">
        <v>4999</v>
      </c>
      <c r="F1266" s="11" t="n">
        <v>1449</v>
      </c>
      <c r="G1266" s="12" t="n">
        <v>0.71</v>
      </c>
      <c r="H1266" s="13" t="n">
        <v>3.6</v>
      </c>
      <c r="I1266" s="11" t="n">
        <v>63</v>
      </c>
      <c r="J1266" s="11" t="n">
        <f aca="false">E1266-F1266</f>
        <v>3550</v>
      </c>
      <c r="K1266" s="10" t="str">
        <f aca="false">IF(G1266&lt;0.2,"0-19%",IF(G1266&lt;0.4,"20-39%",IF(G1266&lt;0.6,"40-59%",IF(G1266&lt;0.8,"60-79%","80%+"))))</f>
        <v>60-79%</v>
      </c>
      <c r="L1266" s="10" t="str">
        <f aca="false">IF(H1266="","No rating",IF(H1266&lt;3.5,"Below 3.5",IF(H1266&lt;4,"3.5-3.9",IF(H1266&lt;4.5,"4.0-4.4","4.5+"))))</f>
        <v>3.5-3.9</v>
      </c>
    </row>
    <row r="1267" customFormat="false" ht="15" hidden="false" customHeight="false" outlineLevel="0" collapsed="false">
      <c r="A1267" s="10" t="s">
        <v>2569</v>
      </c>
      <c r="B1267" s="10" t="s">
        <v>2570</v>
      </c>
      <c r="C1267" s="10" t="s">
        <v>1181</v>
      </c>
      <c r="D1267" s="10" t="s">
        <v>1854</v>
      </c>
      <c r="E1267" s="11" t="n">
        <v>2550</v>
      </c>
      <c r="F1267" s="11" t="n">
        <v>1190</v>
      </c>
      <c r="G1267" s="12" t="n">
        <v>0.53</v>
      </c>
      <c r="H1267" s="13" t="n">
        <v>3.8</v>
      </c>
      <c r="I1267" s="11" t="n">
        <v>1181</v>
      </c>
      <c r="J1267" s="11" t="n">
        <f aca="false">E1267-F1267</f>
        <v>1360</v>
      </c>
      <c r="K1267" s="10" t="str">
        <f aca="false">IF(G1267&lt;0.2,"0-19%",IF(G1267&lt;0.4,"20-39%",IF(G1267&lt;0.6,"40-59%",IF(G1267&lt;0.8,"60-79%","80%+"))))</f>
        <v>40-59%</v>
      </c>
      <c r="L1267" s="10" t="str">
        <f aca="false">IF(H1267="","No rating",IF(H1267&lt;3.5,"Below 3.5",IF(H1267&lt;4,"3.5-3.9",IF(H1267&lt;4.5,"4.0-4.4","4.5+"))))</f>
        <v>3.5-3.9</v>
      </c>
    </row>
    <row r="1268" customFormat="false" ht="15" hidden="false" customHeight="false" outlineLevel="0" collapsed="false">
      <c r="A1268" s="10" t="s">
        <v>2571</v>
      </c>
      <c r="B1268" s="10" t="s">
        <v>2572</v>
      </c>
      <c r="C1268" s="10" t="s">
        <v>1181</v>
      </c>
      <c r="D1268" s="10" t="s">
        <v>1851</v>
      </c>
      <c r="E1268" s="11" t="n">
        <v>1950</v>
      </c>
      <c r="F1268" s="11" t="n">
        <v>1799</v>
      </c>
      <c r="G1268" s="12" t="n">
        <v>0.08</v>
      </c>
      <c r="H1268" s="13" t="n">
        <v>3.9</v>
      </c>
      <c r="I1268" s="11" t="n">
        <v>1888</v>
      </c>
      <c r="J1268" s="11" t="n">
        <f aca="false">E1268-F1268</f>
        <v>151</v>
      </c>
      <c r="K1268" s="10" t="str">
        <f aca="false">IF(G1268&lt;0.2,"0-19%",IF(G1268&lt;0.4,"20-39%",IF(G1268&lt;0.6,"40-59%",IF(G1268&lt;0.8,"60-79%","80%+"))))</f>
        <v>0-19%</v>
      </c>
      <c r="L1268" s="10" t="str">
        <f aca="false">IF(H1268="","No rating",IF(H1268&lt;3.5,"Below 3.5",IF(H1268&lt;4,"3.5-3.9",IF(H1268&lt;4.5,"4.0-4.4","4.5+"))))</f>
        <v>3.5-3.9</v>
      </c>
    </row>
    <row r="1269" customFormat="false" ht="15" hidden="false" customHeight="false" outlineLevel="0" collapsed="false">
      <c r="A1269" s="10" t="s">
        <v>2573</v>
      </c>
      <c r="B1269" s="10" t="s">
        <v>2574</v>
      </c>
      <c r="C1269" s="10" t="s">
        <v>1181</v>
      </c>
      <c r="D1269" s="10" t="s">
        <v>1851</v>
      </c>
      <c r="E1269" s="11" t="n">
        <v>8478</v>
      </c>
      <c r="F1269" s="11" t="n">
        <v>6120</v>
      </c>
      <c r="G1269" s="12" t="n">
        <v>0.28</v>
      </c>
      <c r="H1269" s="13" t="n">
        <v>4.6</v>
      </c>
      <c r="I1269" s="11" t="n">
        <v>6550</v>
      </c>
      <c r="J1269" s="11" t="n">
        <f aca="false">E1269-F1269</f>
        <v>2358</v>
      </c>
      <c r="K1269" s="10" t="str">
        <f aca="false">IF(G1269&lt;0.2,"0-19%",IF(G1269&lt;0.4,"20-39%",IF(G1269&lt;0.6,"40-59%",IF(G1269&lt;0.8,"60-79%","80%+"))))</f>
        <v>20-39%</v>
      </c>
      <c r="L1269" s="10" t="str">
        <f aca="false">IF(H1269="","No rating",IF(H1269&lt;3.5,"Below 3.5",IF(H1269&lt;4,"3.5-3.9",IF(H1269&lt;4.5,"4.0-4.4","4.5+"))))</f>
        <v>4.5+</v>
      </c>
    </row>
    <row r="1270" customFormat="false" ht="15" hidden="false" customHeight="false" outlineLevel="0" collapsed="false">
      <c r="A1270" s="10" t="s">
        <v>2575</v>
      </c>
      <c r="B1270" s="10" t="s">
        <v>2576</v>
      </c>
      <c r="C1270" s="10" t="s">
        <v>1181</v>
      </c>
      <c r="D1270" s="10" t="s">
        <v>1851</v>
      </c>
      <c r="E1270" s="11" t="n">
        <v>3299</v>
      </c>
      <c r="F1270" s="11" t="n">
        <v>1799</v>
      </c>
      <c r="G1270" s="12" t="n">
        <v>0.45</v>
      </c>
      <c r="H1270" s="13" t="n">
        <v>3.8</v>
      </c>
      <c r="I1270" s="11" t="n">
        <v>1846</v>
      </c>
      <c r="J1270" s="11" t="n">
        <f aca="false">E1270-F1270</f>
        <v>1500</v>
      </c>
      <c r="K1270" s="10" t="str">
        <f aca="false">IF(G1270&lt;0.2,"0-19%",IF(G1270&lt;0.4,"20-39%",IF(G1270&lt;0.6,"40-59%",IF(G1270&lt;0.8,"60-79%","80%+"))))</f>
        <v>40-59%</v>
      </c>
      <c r="L1270" s="10" t="str">
        <f aca="false">IF(H1270="","No rating",IF(H1270&lt;3.5,"Below 3.5",IF(H1270&lt;4,"3.5-3.9",IF(H1270&lt;4.5,"4.0-4.4","4.5+"))))</f>
        <v>3.5-3.9</v>
      </c>
    </row>
    <row r="1271" customFormat="false" ht="15" hidden="false" customHeight="false" outlineLevel="0" collapsed="false">
      <c r="A1271" s="10" t="s">
        <v>2577</v>
      </c>
      <c r="B1271" s="10" t="s">
        <v>2578</v>
      </c>
      <c r="C1271" s="10" t="s">
        <v>1181</v>
      </c>
      <c r="D1271" s="10" t="s">
        <v>1851</v>
      </c>
      <c r="E1271" s="11" t="n">
        <v>3895</v>
      </c>
      <c r="F1271" s="11" t="n">
        <v>2199</v>
      </c>
      <c r="G1271" s="12" t="n">
        <v>0.44</v>
      </c>
      <c r="H1271" s="13" t="n">
        <v>3.9</v>
      </c>
      <c r="I1271" s="11" t="n">
        <v>1085</v>
      </c>
      <c r="J1271" s="11" t="n">
        <f aca="false">E1271-F1271</f>
        <v>1696</v>
      </c>
      <c r="K1271" s="10" t="str">
        <f aca="false">IF(G1271&lt;0.2,"0-19%",IF(G1271&lt;0.4,"20-39%",IF(G1271&lt;0.6,"40-59%",IF(G1271&lt;0.8,"60-79%","80%+"))))</f>
        <v>40-59%</v>
      </c>
      <c r="L1271" s="10" t="str">
        <f aca="false">IF(H1271="","No rating",IF(H1271&lt;3.5,"Below 3.5",IF(H1271&lt;4,"3.5-3.9",IF(H1271&lt;4.5,"4.0-4.4","4.5+"))))</f>
        <v>3.5-3.9</v>
      </c>
    </row>
    <row r="1272" customFormat="false" ht="15" hidden="false" customHeight="false" outlineLevel="0" collapsed="false">
      <c r="A1272" s="10" t="s">
        <v>2579</v>
      </c>
      <c r="B1272" s="10" t="s">
        <v>2580</v>
      </c>
      <c r="C1272" s="10" t="s">
        <v>1181</v>
      </c>
      <c r="D1272" s="10" t="s">
        <v>1851</v>
      </c>
      <c r="E1272" s="11" t="n">
        <v>5495</v>
      </c>
      <c r="F1272" s="11" t="n">
        <v>3685</v>
      </c>
      <c r="G1272" s="12" t="n">
        <v>0.33</v>
      </c>
      <c r="H1272" s="13" t="n">
        <v>4.1</v>
      </c>
      <c r="I1272" s="11" t="n">
        <v>290</v>
      </c>
      <c r="J1272" s="11" t="n">
        <f aca="false">E1272-F1272</f>
        <v>1810</v>
      </c>
      <c r="K1272" s="10" t="str">
        <f aca="false">IF(G1272&lt;0.2,"0-19%",IF(G1272&lt;0.4,"20-39%",IF(G1272&lt;0.6,"40-59%",IF(G1272&lt;0.8,"60-79%","80%+"))))</f>
        <v>20-39%</v>
      </c>
      <c r="L1272" s="10" t="str">
        <f aca="false">IF(H1272="","No rating",IF(H1272&lt;3.5,"Below 3.5",IF(H1272&lt;4,"3.5-3.9",IF(H1272&lt;4.5,"4.0-4.4","4.5+"))))</f>
        <v>4.0-4.4</v>
      </c>
    </row>
    <row r="1273" customFormat="false" ht="15" hidden="false" customHeight="false" outlineLevel="0" collapsed="false">
      <c r="A1273" s="10" t="s">
        <v>2581</v>
      </c>
      <c r="B1273" s="10" t="s">
        <v>2582</v>
      </c>
      <c r="C1273" s="10" t="s">
        <v>1181</v>
      </c>
      <c r="D1273" s="10" t="s">
        <v>1851</v>
      </c>
      <c r="E1273" s="11" t="n">
        <v>999</v>
      </c>
      <c r="F1273" s="11" t="n">
        <v>649</v>
      </c>
      <c r="G1273" s="12" t="n">
        <v>0.35</v>
      </c>
      <c r="H1273" s="13" t="n">
        <v>3.6</v>
      </c>
      <c r="I1273" s="11" t="n">
        <v>4</v>
      </c>
      <c r="J1273" s="11" t="n">
        <f aca="false">E1273-F1273</f>
        <v>350</v>
      </c>
      <c r="K1273" s="10" t="str">
        <f aca="false">IF(G1273&lt;0.2,"0-19%",IF(G1273&lt;0.4,"20-39%",IF(G1273&lt;0.6,"40-59%",IF(G1273&lt;0.8,"60-79%","80%+"))))</f>
        <v>20-39%</v>
      </c>
      <c r="L1273" s="10" t="str">
        <f aca="false">IF(H1273="","No rating",IF(H1273&lt;3.5,"Below 3.5",IF(H1273&lt;4,"3.5-3.9",IF(H1273&lt;4.5,"4.0-4.4","4.5+"))))</f>
        <v>3.5-3.9</v>
      </c>
    </row>
    <row r="1274" customFormat="false" ht="15" hidden="false" customHeight="false" outlineLevel="0" collapsed="false">
      <c r="A1274" s="10" t="s">
        <v>2583</v>
      </c>
      <c r="B1274" s="10" t="s">
        <v>2584</v>
      </c>
      <c r="C1274" s="10" t="s">
        <v>1181</v>
      </c>
      <c r="D1274" s="10" t="s">
        <v>1851</v>
      </c>
      <c r="E1274" s="11" t="n">
        <v>8995</v>
      </c>
      <c r="F1274" s="11" t="n">
        <v>8599</v>
      </c>
      <c r="G1274" s="12" t="n">
        <v>0.04</v>
      </c>
      <c r="H1274" s="13" t="n">
        <v>4.4</v>
      </c>
      <c r="I1274" s="11" t="n">
        <v>9734</v>
      </c>
      <c r="J1274" s="11" t="n">
        <f aca="false">E1274-F1274</f>
        <v>396</v>
      </c>
      <c r="K1274" s="10" t="str">
        <f aca="false">IF(G1274&lt;0.2,"0-19%",IF(G1274&lt;0.4,"20-39%",IF(G1274&lt;0.6,"40-59%",IF(G1274&lt;0.8,"60-79%","80%+"))))</f>
        <v>0-19%</v>
      </c>
      <c r="L1274" s="10" t="str">
        <f aca="false">IF(H1274="","No rating",IF(H1274&lt;3.5,"Below 3.5",IF(H1274&lt;4,"3.5-3.9",IF(H1274&lt;4.5,"4.0-4.4","4.5+"))))</f>
        <v>4.0-4.4</v>
      </c>
    </row>
    <row r="1275" customFormat="false" ht="15" hidden="false" customHeight="false" outlineLevel="0" collapsed="false">
      <c r="A1275" s="10" t="s">
        <v>2585</v>
      </c>
      <c r="B1275" s="10" t="s">
        <v>2586</v>
      </c>
      <c r="C1275" s="10" t="s">
        <v>1181</v>
      </c>
      <c r="D1275" s="10" t="s">
        <v>1851</v>
      </c>
      <c r="E1275" s="11" t="n">
        <v>1599</v>
      </c>
      <c r="F1275" s="11" t="n">
        <v>1110</v>
      </c>
      <c r="G1275" s="12" t="n">
        <v>0.31</v>
      </c>
      <c r="H1275" s="13" t="n">
        <v>4.3</v>
      </c>
      <c r="I1275" s="11" t="n">
        <v>4022</v>
      </c>
      <c r="J1275" s="11" t="n">
        <f aca="false">E1275-F1275</f>
        <v>489</v>
      </c>
      <c r="K1275" s="10" t="str">
        <f aca="false">IF(G1275&lt;0.2,"0-19%",IF(G1275&lt;0.4,"20-39%",IF(G1275&lt;0.6,"40-59%",IF(G1275&lt;0.8,"60-79%","80%+"))))</f>
        <v>20-39%</v>
      </c>
      <c r="L1275" s="10" t="str">
        <f aca="false">IF(H1275="","No rating",IF(H1275&lt;3.5,"Below 3.5",IF(H1275&lt;4,"3.5-3.9",IF(H1275&lt;4.5,"4.0-4.4","4.5+"))))</f>
        <v>4.0-4.4</v>
      </c>
    </row>
    <row r="1276" customFormat="false" ht="15" hidden="false" customHeight="false" outlineLevel="0" collapsed="false">
      <c r="A1276" s="10" t="s">
        <v>2587</v>
      </c>
      <c r="B1276" s="10" t="s">
        <v>2588</v>
      </c>
      <c r="C1276" s="10" t="s">
        <v>1181</v>
      </c>
      <c r="D1276" s="10" t="s">
        <v>1854</v>
      </c>
      <c r="E1276" s="11" t="n">
        <v>3500</v>
      </c>
      <c r="F1276" s="11" t="n">
        <v>1499</v>
      </c>
      <c r="G1276" s="12" t="n">
        <v>0.57</v>
      </c>
      <c r="H1276" s="13" t="n">
        <v>4.7</v>
      </c>
      <c r="I1276" s="11" t="n">
        <v>2591</v>
      </c>
      <c r="J1276" s="11" t="n">
        <f aca="false">E1276-F1276</f>
        <v>2001</v>
      </c>
      <c r="K1276" s="10" t="str">
        <f aca="false">IF(G1276&lt;0.2,"0-19%",IF(G1276&lt;0.4,"20-39%",IF(G1276&lt;0.6,"40-59%",IF(G1276&lt;0.8,"60-79%","80%+"))))</f>
        <v>40-59%</v>
      </c>
      <c r="L1276" s="10" t="str">
        <f aca="false">IF(H1276="","No rating",IF(H1276&lt;3.5,"Below 3.5",IF(H1276&lt;4,"3.5-3.9",IF(H1276&lt;4.5,"4.0-4.4","4.5+"))))</f>
        <v>4.5+</v>
      </c>
    </row>
    <row r="1277" customFormat="false" ht="15" hidden="false" customHeight="false" outlineLevel="0" collapsed="false">
      <c r="A1277" s="10" t="s">
        <v>2589</v>
      </c>
      <c r="B1277" s="10" t="s">
        <v>2590</v>
      </c>
      <c r="C1277" s="10" t="s">
        <v>1181</v>
      </c>
      <c r="D1277" s="10" t="s">
        <v>1851</v>
      </c>
      <c r="E1277" s="11" t="n">
        <v>1999</v>
      </c>
      <c r="F1277" s="11" t="n">
        <v>759</v>
      </c>
      <c r="G1277" s="12" t="n">
        <v>0.62</v>
      </c>
      <c r="H1277" s="13" t="n">
        <v>4.3</v>
      </c>
      <c r="I1277" s="11" t="n">
        <v>532</v>
      </c>
      <c r="J1277" s="11" t="n">
        <f aca="false">E1277-F1277</f>
        <v>1240</v>
      </c>
      <c r="K1277" s="10" t="str">
        <f aca="false">IF(G1277&lt;0.2,"0-19%",IF(G1277&lt;0.4,"20-39%",IF(G1277&lt;0.6,"40-59%",IF(G1277&lt;0.8,"60-79%","80%+"))))</f>
        <v>60-79%</v>
      </c>
      <c r="L1277" s="10" t="str">
        <f aca="false">IF(H1277="","No rating",IF(H1277&lt;3.5,"Below 3.5",IF(H1277&lt;4,"3.5-3.9",IF(H1277&lt;4.5,"4.0-4.4","4.5+"))))</f>
        <v>4.0-4.4</v>
      </c>
    </row>
    <row r="1278" customFormat="false" ht="15" hidden="false" customHeight="false" outlineLevel="0" collapsed="false">
      <c r="A1278" s="10" t="s">
        <v>2591</v>
      </c>
      <c r="B1278" s="10" t="s">
        <v>2592</v>
      </c>
      <c r="C1278" s="10" t="s">
        <v>1181</v>
      </c>
      <c r="D1278" s="10" t="s">
        <v>1851</v>
      </c>
      <c r="E1278" s="11" t="n">
        <v>3199</v>
      </c>
      <c r="F1278" s="11" t="n">
        <v>2669</v>
      </c>
      <c r="G1278" s="12" t="n">
        <v>0.17</v>
      </c>
      <c r="H1278" s="13" t="n">
        <v>3.9</v>
      </c>
      <c r="I1278" s="11" t="n">
        <v>260</v>
      </c>
      <c r="J1278" s="11" t="n">
        <f aca="false">E1278-F1278</f>
        <v>530</v>
      </c>
      <c r="K1278" s="10" t="str">
        <f aca="false">IF(G1278&lt;0.2,"0-19%",IF(G1278&lt;0.4,"20-39%",IF(G1278&lt;0.6,"40-59%",IF(G1278&lt;0.8,"60-79%","80%+"))))</f>
        <v>0-19%</v>
      </c>
      <c r="L1278" s="10" t="str">
        <f aca="false">IF(H1278="","No rating",IF(H1278&lt;3.5,"Below 3.5",IF(H1278&lt;4,"3.5-3.9",IF(H1278&lt;4.5,"4.0-4.4","4.5+"))))</f>
        <v>3.5-3.9</v>
      </c>
    </row>
    <row r="1279" customFormat="false" ht="15" hidden="false" customHeight="false" outlineLevel="0" collapsed="false">
      <c r="A1279" s="10" t="s">
        <v>2593</v>
      </c>
      <c r="B1279" s="10" t="s">
        <v>2594</v>
      </c>
      <c r="C1279" s="10" t="s">
        <v>1181</v>
      </c>
      <c r="D1279" s="10" t="s">
        <v>1851</v>
      </c>
      <c r="E1279" s="11" t="n">
        <v>1300</v>
      </c>
      <c r="F1279" s="11" t="n">
        <v>929</v>
      </c>
      <c r="G1279" s="12" t="n">
        <v>0.29</v>
      </c>
      <c r="H1279" s="13" t="n">
        <v>3.9</v>
      </c>
      <c r="I1279" s="11" t="n">
        <v>1672</v>
      </c>
      <c r="J1279" s="11" t="n">
        <f aca="false">E1279-F1279</f>
        <v>371</v>
      </c>
      <c r="K1279" s="10" t="str">
        <f aca="false">IF(G1279&lt;0.2,"0-19%",IF(G1279&lt;0.4,"20-39%",IF(G1279&lt;0.6,"40-59%",IF(G1279&lt;0.8,"60-79%","80%+"))))</f>
        <v>20-39%</v>
      </c>
      <c r="L1279" s="10" t="str">
        <f aca="false">IF(H1279="","No rating",IF(H1279&lt;3.5,"Below 3.5",IF(H1279&lt;4,"3.5-3.9",IF(H1279&lt;4.5,"4.0-4.4","4.5+"))))</f>
        <v>3.5-3.9</v>
      </c>
    </row>
    <row r="1280" customFormat="false" ht="15" hidden="false" customHeight="false" outlineLevel="0" collapsed="false">
      <c r="A1280" s="10" t="s">
        <v>2595</v>
      </c>
      <c r="B1280" s="10" t="s">
        <v>2596</v>
      </c>
      <c r="C1280" s="10" t="s">
        <v>1181</v>
      </c>
      <c r="D1280" s="10" t="s">
        <v>1920</v>
      </c>
      <c r="E1280" s="11" t="n">
        <v>399</v>
      </c>
      <c r="F1280" s="11" t="n">
        <v>199</v>
      </c>
      <c r="G1280" s="12" t="n">
        <v>0.5</v>
      </c>
      <c r="H1280" s="13" t="n">
        <v>3.7</v>
      </c>
      <c r="I1280" s="11" t="n">
        <v>7945</v>
      </c>
      <c r="J1280" s="11" t="n">
        <f aca="false">E1280-F1280</f>
        <v>200</v>
      </c>
      <c r="K1280" s="10" t="str">
        <f aca="false">IF(G1280&lt;0.2,"0-19%",IF(G1280&lt;0.4,"20-39%",IF(G1280&lt;0.6,"40-59%",IF(G1280&lt;0.8,"60-79%","80%+"))))</f>
        <v>40-59%</v>
      </c>
      <c r="L1280" s="10" t="str">
        <f aca="false">IF(H1280="","No rating",IF(H1280&lt;3.5,"Below 3.5",IF(H1280&lt;4,"3.5-3.9",IF(H1280&lt;4.5,"4.0-4.4","4.5+"))))</f>
        <v>3.5-3.9</v>
      </c>
    </row>
    <row r="1281" customFormat="false" ht="15" hidden="false" customHeight="false" outlineLevel="0" collapsed="false">
      <c r="A1281" s="10" t="s">
        <v>2597</v>
      </c>
      <c r="B1281" s="10" t="s">
        <v>2598</v>
      </c>
      <c r="C1281" s="10" t="s">
        <v>1181</v>
      </c>
      <c r="D1281" s="10" t="s">
        <v>1851</v>
      </c>
      <c r="E1281" s="11" t="n">
        <v>599</v>
      </c>
      <c r="F1281" s="11" t="n">
        <v>279</v>
      </c>
      <c r="G1281" s="12" t="n">
        <v>0.53</v>
      </c>
      <c r="H1281" s="13" t="n">
        <v>3.5</v>
      </c>
      <c r="I1281" s="11" t="n">
        <v>1367</v>
      </c>
      <c r="J1281" s="11" t="n">
        <f aca="false">E1281-F1281</f>
        <v>320</v>
      </c>
      <c r="K1281" s="10" t="str">
        <f aca="false">IF(G1281&lt;0.2,"0-19%",IF(G1281&lt;0.4,"20-39%",IF(G1281&lt;0.6,"40-59%",IF(G1281&lt;0.8,"60-79%","80%+"))))</f>
        <v>40-59%</v>
      </c>
      <c r="L1281" s="10" t="str">
        <f aca="false">IF(H1281="","No rating",IF(H1281&lt;3.5,"Below 3.5",IF(H1281&lt;4,"3.5-3.9",IF(H1281&lt;4.5,"4.0-4.4","4.5+"))))</f>
        <v>3.5-3.9</v>
      </c>
    </row>
    <row r="1282" customFormat="false" ht="15" hidden="false" customHeight="false" outlineLevel="0" collapsed="false">
      <c r="A1282" s="10" t="s">
        <v>2599</v>
      </c>
      <c r="B1282" s="10" t="s">
        <v>2600</v>
      </c>
      <c r="C1282" s="10" t="s">
        <v>1181</v>
      </c>
      <c r="D1282" s="10" t="s">
        <v>1851</v>
      </c>
      <c r="E1282" s="11" t="n">
        <v>999</v>
      </c>
      <c r="F1282" s="11" t="n">
        <v>549</v>
      </c>
      <c r="G1282" s="12" t="n">
        <v>0.45</v>
      </c>
      <c r="H1282" s="13" t="n">
        <v>4</v>
      </c>
      <c r="I1282" s="11" t="n">
        <v>1313</v>
      </c>
      <c r="J1282" s="11" t="n">
        <f aca="false">E1282-F1282</f>
        <v>450</v>
      </c>
      <c r="K1282" s="10" t="str">
        <f aca="false">IF(G1282&lt;0.2,"0-19%",IF(G1282&lt;0.4,"20-39%",IF(G1282&lt;0.6,"40-59%",IF(G1282&lt;0.8,"60-79%","80%+"))))</f>
        <v>40-59%</v>
      </c>
      <c r="L1282" s="10" t="str">
        <f aca="false">IF(H1282="","No rating",IF(H1282&lt;3.5,"Below 3.5",IF(H1282&lt;4,"3.5-3.9",IF(H1282&lt;4.5,"4.0-4.4","4.5+"))))</f>
        <v>4.0-4.4</v>
      </c>
    </row>
    <row r="1283" customFormat="false" ht="15" hidden="false" customHeight="false" outlineLevel="0" collapsed="false">
      <c r="A1283" s="10" t="s">
        <v>2601</v>
      </c>
      <c r="B1283" s="10" t="s">
        <v>2602</v>
      </c>
      <c r="C1283" s="10" t="s">
        <v>1181</v>
      </c>
      <c r="D1283" s="10" t="s">
        <v>1920</v>
      </c>
      <c r="E1283" s="11" t="n">
        <v>199</v>
      </c>
      <c r="F1283" s="11" t="n">
        <v>85</v>
      </c>
      <c r="G1283" s="12" t="n">
        <v>0.57</v>
      </c>
      <c r="H1283" s="13" t="n">
        <v>4.1</v>
      </c>
      <c r="I1283" s="11" t="n">
        <v>212</v>
      </c>
      <c r="J1283" s="11" t="n">
        <f aca="false">E1283-F1283</f>
        <v>114</v>
      </c>
      <c r="K1283" s="10" t="str">
        <f aca="false">IF(G1283&lt;0.2,"0-19%",IF(G1283&lt;0.4,"20-39%",IF(G1283&lt;0.6,"40-59%",IF(G1283&lt;0.8,"60-79%","80%+"))))</f>
        <v>40-59%</v>
      </c>
      <c r="L1283" s="10" t="str">
        <f aca="false">IF(H1283="","No rating",IF(H1283&lt;3.5,"Below 3.5",IF(H1283&lt;4,"3.5-3.9",IF(H1283&lt;4.5,"4.0-4.4","4.5+"))))</f>
        <v>4.0-4.4</v>
      </c>
    </row>
    <row r="1284" customFormat="false" ht="15" hidden="false" customHeight="false" outlineLevel="0" collapsed="false">
      <c r="A1284" s="10" t="s">
        <v>2603</v>
      </c>
      <c r="B1284" s="10" t="s">
        <v>2604</v>
      </c>
      <c r="C1284" s="10" t="s">
        <v>1181</v>
      </c>
      <c r="D1284" s="10" t="s">
        <v>1851</v>
      </c>
      <c r="E1284" s="11" t="n">
        <v>1299</v>
      </c>
      <c r="F1284" s="11" t="n">
        <v>499</v>
      </c>
      <c r="G1284" s="12" t="n">
        <v>0.62</v>
      </c>
      <c r="H1284" s="13" t="n">
        <v>3.9</v>
      </c>
      <c r="I1284" s="11" t="n">
        <v>65</v>
      </c>
      <c r="J1284" s="11" t="n">
        <f aca="false">E1284-F1284</f>
        <v>800</v>
      </c>
      <c r="K1284" s="10" t="str">
        <f aca="false">IF(G1284&lt;0.2,"0-19%",IF(G1284&lt;0.4,"20-39%",IF(G1284&lt;0.6,"40-59%",IF(G1284&lt;0.8,"60-79%","80%+"))))</f>
        <v>60-79%</v>
      </c>
      <c r="L1284" s="10" t="str">
        <f aca="false">IF(H1284="","No rating",IF(H1284&lt;3.5,"Below 3.5",IF(H1284&lt;4,"3.5-3.9",IF(H1284&lt;4.5,"4.0-4.4","4.5+"))))</f>
        <v>3.5-3.9</v>
      </c>
    </row>
    <row r="1285" customFormat="false" ht="15" hidden="false" customHeight="false" outlineLevel="0" collapsed="false">
      <c r="A1285" s="10" t="s">
        <v>2605</v>
      </c>
      <c r="B1285" s="10" t="s">
        <v>2606</v>
      </c>
      <c r="C1285" s="10" t="s">
        <v>1181</v>
      </c>
      <c r="D1285" s="10" t="s">
        <v>1851</v>
      </c>
      <c r="E1285" s="11" t="n">
        <v>7776</v>
      </c>
      <c r="F1285" s="11" t="n">
        <v>5865</v>
      </c>
      <c r="G1285" s="12" t="n">
        <v>0.25</v>
      </c>
      <c r="H1285" s="13" t="n">
        <v>4.4</v>
      </c>
      <c r="I1285" s="11" t="n">
        <v>2737</v>
      </c>
      <c r="J1285" s="11" t="n">
        <f aca="false">E1285-F1285</f>
        <v>1911</v>
      </c>
      <c r="K1285" s="10" t="str">
        <f aca="false">IF(G1285&lt;0.2,"0-19%",IF(G1285&lt;0.4,"20-39%",IF(G1285&lt;0.6,"40-59%",IF(G1285&lt;0.8,"60-79%","80%+"))))</f>
        <v>20-39%</v>
      </c>
      <c r="L1285" s="10" t="str">
        <f aca="false">IF(H1285="","No rating",IF(H1285&lt;3.5,"Below 3.5",IF(H1285&lt;4,"3.5-3.9",IF(H1285&lt;4.5,"4.0-4.4","4.5+"))))</f>
        <v>4.0-4.4</v>
      </c>
    </row>
    <row r="1286" customFormat="false" ht="15" hidden="false" customHeight="false" outlineLevel="0" collapsed="false">
      <c r="A1286" s="10" t="s">
        <v>2607</v>
      </c>
      <c r="B1286" s="10" t="s">
        <v>2608</v>
      </c>
      <c r="C1286" s="10" t="s">
        <v>1181</v>
      </c>
      <c r="D1286" s="10" t="s">
        <v>1851</v>
      </c>
      <c r="E1286" s="11" t="n">
        <v>2299</v>
      </c>
      <c r="F1286" s="11" t="n">
        <v>1260</v>
      </c>
      <c r="G1286" s="12" t="n">
        <v>0.45</v>
      </c>
      <c r="H1286" s="13" t="n">
        <v>4.3</v>
      </c>
      <c r="I1286" s="11" t="n">
        <v>55</v>
      </c>
      <c r="J1286" s="11" t="n">
        <f aca="false">E1286-F1286</f>
        <v>1039</v>
      </c>
      <c r="K1286" s="10" t="str">
        <f aca="false">IF(G1286&lt;0.2,"0-19%",IF(G1286&lt;0.4,"20-39%",IF(G1286&lt;0.6,"40-59%",IF(G1286&lt;0.8,"60-79%","80%+"))))</f>
        <v>40-59%</v>
      </c>
      <c r="L1286" s="10" t="str">
        <f aca="false">IF(H1286="","No rating",IF(H1286&lt;3.5,"Below 3.5",IF(H1286&lt;4,"3.5-3.9",IF(H1286&lt;4.5,"4.0-4.4","4.5+"))))</f>
        <v>4.0-4.4</v>
      </c>
    </row>
    <row r="1287" customFormat="false" ht="15" hidden="false" customHeight="false" outlineLevel="0" collapsed="false">
      <c r="A1287" s="10" t="s">
        <v>2609</v>
      </c>
      <c r="B1287" s="10" t="s">
        <v>2610</v>
      </c>
      <c r="C1287" s="10" t="s">
        <v>1181</v>
      </c>
      <c r="D1287" s="10" t="s">
        <v>1851</v>
      </c>
      <c r="E1287" s="11" t="n">
        <v>1500</v>
      </c>
      <c r="F1287" s="11" t="n">
        <v>1099</v>
      </c>
      <c r="G1287" s="12" t="n">
        <v>0.27</v>
      </c>
      <c r="H1287" s="13" t="n">
        <v>4.5</v>
      </c>
      <c r="I1287" s="11" t="n">
        <v>1065</v>
      </c>
      <c r="J1287" s="11" t="n">
        <f aca="false">E1287-F1287</f>
        <v>401</v>
      </c>
      <c r="K1287" s="10" t="str">
        <f aca="false">IF(G1287&lt;0.2,"0-19%",IF(G1287&lt;0.4,"20-39%",IF(G1287&lt;0.6,"40-59%",IF(G1287&lt;0.8,"60-79%","80%+"))))</f>
        <v>20-39%</v>
      </c>
      <c r="L1287" s="10" t="str">
        <f aca="false">IF(H1287="","No rating",IF(H1287&lt;3.5,"Below 3.5",IF(H1287&lt;4,"3.5-3.9",IF(H1287&lt;4.5,"4.0-4.4","4.5+"))))</f>
        <v>4.5+</v>
      </c>
    </row>
    <row r="1288" customFormat="false" ht="15" hidden="false" customHeight="false" outlineLevel="0" collapsed="false">
      <c r="A1288" s="10" t="s">
        <v>2611</v>
      </c>
      <c r="B1288" s="10" t="s">
        <v>2612</v>
      </c>
      <c r="C1288" s="10" t="s">
        <v>1181</v>
      </c>
      <c r="D1288" s="10" t="s">
        <v>1851</v>
      </c>
      <c r="E1288" s="11" t="n">
        <v>2590</v>
      </c>
      <c r="F1288" s="11" t="n">
        <v>1928</v>
      </c>
      <c r="G1288" s="12" t="n">
        <v>0.26</v>
      </c>
      <c r="H1288" s="13" t="n">
        <v>4</v>
      </c>
      <c r="I1288" s="11" t="n">
        <v>2377</v>
      </c>
      <c r="J1288" s="11" t="n">
        <f aca="false">E1288-F1288</f>
        <v>662</v>
      </c>
      <c r="K1288" s="10" t="str">
        <f aca="false">IF(G1288&lt;0.2,"0-19%",IF(G1288&lt;0.4,"20-39%",IF(G1288&lt;0.6,"40-59%",IF(G1288&lt;0.8,"60-79%","80%+"))))</f>
        <v>20-39%</v>
      </c>
      <c r="L1288" s="10" t="str">
        <f aca="false">IF(H1288="","No rating",IF(H1288&lt;3.5,"Below 3.5",IF(H1288&lt;4,"3.5-3.9",IF(H1288&lt;4.5,"4.0-4.4","4.5+"))))</f>
        <v>4.0-4.4</v>
      </c>
    </row>
    <row r="1289" customFormat="false" ht="15" hidden="false" customHeight="false" outlineLevel="0" collapsed="false">
      <c r="A1289" s="10" t="s">
        <v>2613</v>
      </c>
      <c r="B1289" s="10" t="s">
        <v>2614</v>
      </c>
      <c r="C1289" s="10" t="s">
        <v>1181</v>
      </c>
      <c r="D1289" s="10" t="s">
        <v>1854</v>
      </c>
      <c r="E1289" s="11" t="n">
        <v>6299</v>
      </c>
      <c r="F1289" s="11" t="n">
        <v>3249</v>
      </c>
      <c r="G1289" s="12" t="n">
        <v>0.48</v>
      </c>
      <c r="H1289" s="13" t="n">
        <v>3.9</v>
      </c>
      <c r="I1289" s="11" t="n">
        <v>2569</v>
      </c>
      <c r="J1289" s="11" t="n">
        <f aca="false">E1289-F1289</f>
        <v>3050</v>
      </c>
      <c r="K1289" s="10" t="str">
        <f aca="false">IF(G1289&lt;0.2,"0-19%",IF(G1289&lt;0.4,"20-39%",IF(G1289&lt;0.6,"40-59%",IF(G1289&lt;0.8,"60-79%","80%+"))))</f>
        <v>40-59%</v>
      </c>
      <c r="L1289" s="10" t="str">
        <f aca="false">IF(H1289="","No rating",IF(H1289&lt;3.5,"Below 3.5",IF(H1289&lt;4,"3.5-3.9",IF(H1289&lt;4.5,"4.0-4.4","4.5+"))))</f>
        <v>3.5-3.9</v>
      </c>
    </row>
    <row r="1290" customFormat="false" ht="15" hidden="false" customHeight="false" outlineLevel="0" collapsed="false">
      <c r="A1290" s="10" t="s">
        <v>2615</v>
      </c>
      <c r="B1290" s="10" t="s">
        <v>2616</v>
      </c>
      <c r="C1290" s="10" t="s">
        <v>1181</v>
      </c>
      <c r="D1290" s="10" t="s">
        <v>1851</v>
      </c>
      <c r="E1290" s="11" t="n">
        <v>1795</v>
      </c>
      <c r="F1290" s="11" t="n">
        <v>1199</v>
      </c>
      <c r="G1290" s="12" t="n">
        <v>0.33</v>
      </c>
      <c r="H1290" s="13" t="n">
        <v>4.2</v>
      </c>
      <c r="I1290" s="11" t="n">
        <v>5967</v>
      </c>
      <c r="J1290" s="11" t="n">
        <f aca="false">E1290-F1290</f>
        <v>596</v>
      </c>
      <c r="K1290" s="10" t="str">
        <f aca="false">IF(G1290&lt;0.2,"0-19%",IF(G1290&lt;0.4,"20-39%",IF(G1290&lt;0.6,"40-59%",IF(G1290&lt;0.8,"60-79%","80%+"))))</f>
        <v>20-39%</v>
      </c>
      <c r="L1290" s="10" t="str">
        <f aca="false">IF(H1290="","No rating",IF(H1290&lt;3.5,"Below 3.5",IF(H1290&lt;4,"3.5-3.9",IF(H1290&lt;4.5,"4.0-4.4","4.5+"))))</f>
        <v>4.0-4.4</v>
      </c>
    </row>
    <row r="1291" customFormat="false" ht="15" hidden="false" customHeight="false" outlineLevel="0" collapsed="false">
      <c r="A1291" s="10" t="s">
        <v>2617</v>
      </c>
      <c r="B1291" s="10" t="s">
        <v>2618</v>
      </c>
      <c r="C1291" s="10" t="s">
        <v>1181</v>
      </c>
      <c r="D1291" s="10" t="s">
        <v>1851</v>
      </c>
      <c r="E1291" s="11" t="n">
        <v>3190</v>
      </c>
      <c r="F1291" s="11" t="n">
        <v>1456</v>
      </c>
      <c r="G1291" s="12" t="n">
        <v>0.54</v>
      </c>
      <c r="H1291" s="13" t="n">
        <v>4.1</v>
      </c>
      <c r="I1291" s="11" t="n">
        <v>1776</v>
      </c>
      <c r="J1291" s="11" t="n">
        <f aca="false">E1291-F1291</f>
        <v>1734</v>
      </c>
      <c r="K1291" s="10" t="str">
        <f aca="false">IF(G1291&lt;0.2,"0-19%",IF(G1291&lt;0.4,"20-39%",IF(G1291&lt;0.6,"40-59%",IF(G1291&lt;0.8,"60-79%","80%+"))))</f>
        <v>40-59%</v>
      </c>
      <c r="L1291" s="10" t="str">
        <f aca="false">IF(H1291="","No rating",IF(H1291&lt;3.5,"Below 3.5",IF(H1291&lt;4,"3.5-3.9",IF(H1291&lt;4.5,"4.0-4.4","4.5+"))))</f>
        <v>4.0-4.4</v>
      </c>
    </row>
    <row r="1292" customFormat="false" ht="15" hidden="false" customHeight="false" outlineLevel="0" collapsed="false">
      <c r="A1292" s="10" t="s">
        <v>2619</v>
      </c>
      <c r="B1292" s="10" t="s">
        <v>2620</v>
      </c>
      <c r="C1292" s="10" t="s">
        <v>1181</v>
      </c>
      <c r="D1292" s="10" t="s">
        <v>1851</v>
      </c>
      <c r="E1292" s="11" t="n">
        <v>4799</v>
      </c>
      <c r="F1292" s="11" t="n">
        <v>3349</v>
      </c>
      <c r="G1292" s="12" t="n">
        <v>0.3</v>
      </c>
      <c r="H1292" s="13" t="n">
        <v>3.7</v>
      </c>
      <c r="I1292" s="11" t="n">
        <v>4200</v>
      </c>
      <c r="J1292" s="11" t="n">
        <f aca="false">E1292-F1292</f>
        <v>1450</v>
      </c>
      <c r="K1292" s="10" t="str">
        <f aca="false">IF(G1292&lt;0.2,"0-19%",IF(G1292&lt;0.4,"20-39%",IF(G1292&lt;0.6,"40-59%",IF(G1292&lt;0.8,"60-79%","80%+"))))</f>
        <v>20-39%</v>
      </c>
      <c r="L1292" s="10" t="str">
        <f aca="false">IF(H1292="","No rating",IF(H1292&lt;3.5,"Below 3.5",IF(H1292&lt;4,"3.5-3.9",IF(H1292&lt;4.5,"4.0-4.4","4.5+"))))</f>
        <v>3.5-3.9</v>
      </c>
    </row>
    <row r="1293" customFormat="false" ht="15" hidden="false" customHeight="false" outlineLevel="0" collapsed="false">
      <c r="A1293" s="10" t="s">
        <v>2621</v>
      </c>
      <c r="B1293" s="10" t="s">
        <v>2622</v>
      </c>
      <c r="C1293" s="10" t="s">
        <v>1181</v>
      </c>
      <c r="D1293" s="10" t="s">
        <v>1851</v>
      </c>
      <c r="E1293" s="11" t="n">
        <v>8999</v>
      </c>
      <c r="F1293" s="11" t="n">
        <v>4899</v>
      </c>
      <c r="G1293" s="12" t="n">
        <v>0.46</v>
      </c>
      <c r="H1293" s="13" t="n">
        <v>4.1</v>
      </c>
      <c r="I1293" s="11" t="n">
        <v>297</v>
      </c>
      <c r="J1293" s="11" t="n">
        <f aca="false">E1293-F1293</f>
        <v>4100</v>
      </c>
      <c r="K1293" s="10" t="str">
        <f aca="false">IF(G1293&lt;0.2,"0-19%",IF(G1293&lt;0.4,"20-39%",IF(G1293&lt;0.6,"40-59%",IF(G1293&lt;0.8,"60-79%","80%+"))))</f>
        <v>40-59%</v>
      </c>
      <c r="L1293" s="10" t="str">
        <f aca="false">IF(H1293="","No rating",IF(H1293&lt;3.5,"Below 3.5",IF(H1293&lt;4,"3.5-3.9",IF(H1293&lt;4.5,"4.0-4.4","4.5+"))))</f>
        <v>4.0-4.4</v>
      </c>
    </row>
    <row r="1294" customFormat="false" ht="15" hidden="false" customHeight="false" outlineLevel="0" collapsed="false">
      <c r="A1294" s="10" t="s">
        <v>2623</v>
      </c>
      <c r="B1294" s="10" t="s">
        <v>2624</v>
      </c>
      <c r="C1294" s="10" t="s">
        <v>1181</v>
      </c>
      <c r="D1294" s="10" t="s">
        <v>1851</v>
      </c>
      <c r="E1294" s="11" t="n">
        <v>1899</v>
      </c>
      <c r="F1294" s="11" t="n">
        <v>1199</v>
      </c>
      <c r="G1294" s="12" t="n">
        <v>0.37</v>
      </c>
      <c r="H1294" s="13" t="n">
        <v>4.2</v>
      </c>
      <c r="I1294" s="11" t="n">
        <v>3858</v>
      </c>
      <c r="J1294" s="11" t="n">
        <f aca="false">E1294-F1294</f>
        <v>700</v>
      </c>
      <c r="K1294" s="10" t="str">
        <f aca="false">IF(G1294&lt;0.2,"0-19%",IF(G1294&lt;0.4,"20-39%",IF(G1294&lt;0.6,"40-59%",IF(G1294&lt;0.8,"60-79%","80%+"))))</f>
        <v>20-39%</v>
      </c>
      <c r="L1294" s="10" t="str">
        <f aca="false">IF(H1294="","No rating",IF(H1294&lt;3.5,"Below 3.5",IF(H1294&lt;4,"3.5-3.9",IF(H1294&lt;4.5,"4.0-4.4","4.5+"))))</f>
        <v>4.0-4.4</v>
      </c>
    </row>
    <row r="1295" customFormat="false" ht="15" hidden="false" customHeight="false" outlineLevel="0" collapsed="false">
      <c r="A1295" s="10" t="s">
        <v>2625</v>
      </c>
      <c r="B1295" s="10" t="s">
        <v>2626</v>
      </c>
      <c r="C1295" s="10" t="s">
        <v>1181</v>
      </c>
      <c r="D1295" s="10" t="s">
        <v>1854</v>
      </c>
      <c r="E1295" s="11" t="n">
        <v>5799</v>
      </c>
      <c r="F1295" s="11" t="n">
        <v>3290</v>
      </c>
      <c r="G1295" s="12" t="n">
        <v>0.43</v>
      </c>
      <c r="H1295" s="13" t="n">
        <v>4.3</v>
      </c>
      <c r="I1295" s="11" t="n">
        <v>168</v>
      </c>
      <c r="J1295" s="11" t="n">
        <f aca="false">E1295-F1295</f>
        <v>2509</v>
      </c>
      <c r="K1295" s="10" t="str">
        <f aca="false">IF(G1295&lt;0.2,"0-19%",IF(G1295&lt;0.4,"20-39%",IF(G1295&lt;0.6,"40-59%",IF(G1295&lt;0.8,"60-79%","80%+"))))</f>
        <v>40-59%</v>
      </c>
      <c r="L1295" s="10" t="str">
        <f aca="false">IF(H1295="","No rating",IF(H1295&lt;3.5,"Below 3.5",IF(H1295&lt;4,"3.5-3.9",IF(H1295&lt;4.5,"4.0-4.4","4.5+"))))</f>
        <v>4.0-4.4</v>
      </c>
    </row>
    <row r="1296" customFormat="false" ht="15" hidden="false" customHeight="false" outlineLevel="0" collapsed="false">
      <c r="A1296" s="10" t="s">
        <v>2627</v>
      </c>
      <c r="B1296" s="10" t="s">
        <v>2628</v>
      </c>
      <c r="C1296" s="10" t="s">
        <v>1181</v>
      </c>
      <c r="D1296" s="10" t="s">
        <v>1851</v>
      </c>
      <c r="E1296" s="11" t="n">
        <v>799</v>
      </c>
      <c r="F1296" s="11" t="n">
        <v>179</v>
      </c>
      <c r="G1296" s="12" t="n">
        <v>0.78</v>
      </c>
      <c r="H1296" s="13" t="n">
        <v>3.6</v>
      </c>
      <c r="I1296" s="11" t="n">
        <v>101</v>
      </c>
      <c r="J1296" s="11" t="n">
        <f aca="false">E1296-F1296</f>
        <v>620</v>
      </c>
      <c r="K1296" s="10" t="str">
        <f aca="false">IF(G1296&lt;0.2,"0-19%",IF(G1296&lt;0.4,"20-39%",IF(G1296&lt;0.6,"40-59%",IF(G1296&lt;0.8,"60-79%","80%+"))))</f>
        <v>60-79%</v>
      </c>
      <c r="L1296" s="10" t="str">
        <f aca="false">IF(H1296="","No rating",IF(H1296&lt;3.5,"Below 3.5",IF(H1296&lt;4,"3.5-3.9",IF(H1296&lt;4.5,"4.0-4.4","4.5+"))))</f>
        <v>3.5-3.9</v>
      </c>
    </row>
    <row r="1297" customFormat="false" ht="15" hidden="false" customHeight="false" outlineLevel="0" collapsed="false">
      <c r="A1297" s="10" t="s">
        <v>2629</v>
      </c>
      <c r="B1297" s="10" t="s">
        <v>2630</v>
      </c>
      <c r="C1297" s="10" t="s">
        <v>1181</v>
      </c>
      <c r="D1297" s="10" t="s">
        <v>1851</v>
      </c>
      <c r="E1297" s="11" t="n">
        <v>300</v>
      </c>
      <c r="F1297" s="11" t="n">
        <v>149</v>
      </c>
      <c r="G1297" s="12" t="n">
        <v>0.5</v>
      </c>
      <c r="H1297" s="13" t="n">
        <v>4.1</v>
      </c>
      <c r="I1297" s="11" t="n">
        <v>4074</v>
      </c>
      <c r="J1297" s="11" t="n">
        <f aca="false">E1297-F1297</f>
        <v>151</v>
      </c>
      <c r="K1297" s="10" t="str">
        <f aca="false">IF(G1297&lt;0.2,"0-19%",IF(G1297&lt;0.4,"20-39%",IF(G1297&lt;0.6,"40-59%",IF(G1297&lt;0.8,"60-79%","80%+"))))</f>
        <v>40-59%</v>
      </c>
      <c r="L1297" s="10" t="str">
        <f aca="false">IF(H1297="","No rating",IF(H1297&lt;3.5,"Below 3.5",IF(H1297&lt;4,"3.5-3.9",IF(H1297&lt;4.5,"4.0-4.4","4.5+"))))</f>
        <v>4.0-4.4</v>
      </c>
    </row>
    <row r="1298" customFormat="false" ht="15" hidden="false" customHeight="false" outlineLevel="0" collapsed="false">
      <c r="A1298" s="10" t="s">
        <v>2631</v>
      </c>
      <c r="B1298" s="10" t="s">
        <v>2632</v>
      </c>
      <c r="C1298" s="10" t="s">
        <v>1181</v>
      </c>
      <c r="D1298" s="10" t="s">
        <v>1851</v>
      </c>
      <c r="E1298" s="11" t="n">
        <v>7200</v>
      </c>
      <c r="F1298" s="11" t="n">
        <v>5490</v>
      </c>
      <c r="G1298" s="12" t="n">
        <v>0.24</v>
      </c>
      <c r="H1298" s="13" t="n">
        <v>4.5</v>
      </c>
      <c r="I1298" s="11" t="n">
        <v>1408</v>
      </c>
      <c r="J1298" s="11" t="n">
        <f aca="false">E1298-F1298</f>
        <v>1710</v>
      </c>
      <c r="K1298" s="10" t="str">
        <f aca="false">IF(G1298&lt;0.2,"0-19%",IF(G1298&lt;0.4,"20-39%",IF(G1298&lt;0.6,"40-59%",IF(G1298&lt;0.8,"60-79%","80%+"))))</f>
        <v>20-39%</v>
      </c>
      <c r="L1298" s="10" t="str">
        <f aca="false">IF(H1298="","No rating",IF(H1298&lt;3.5,"Below 3.5",IF(H1298&lt;4,"3.5-3.9",IF(H1298&lt;4.5,"4.0-4.4","4.5+"))))</f>
        <v>4.5+</v>
      </c>
    </row>
    <row r="1299" customFormat="false" ht="15" hidden="false" customHeight="false" outlineLevel="0" collapsed="false">
      <c r="A1299" s="10" t="s">
        <v>2633</v>
      </c>
      <c r="B1299" s="10" t="s">
        <v>2634</v>
      </c>
      <c r="C1299" s="10" t="s">
        <v>1181</v>
      </c>
      <c r="D1299" s="10" t="s">
        <v>1851</v>
      </c>
      <c r="E1299" s="11" t="n">
        <v>389</v>
      </c>
      <c r="F1299" s="11" t="n">
        <v>379</v>
      </c>
      <c r="G1299" s="12" t="n">
        <v>0.03</v>
      </c>
      <c r="H1299" s="13" t="n">
        <v>4.2</v>
      </c>
      <c r="I1299" s="11" t="n">
        <v>3739</v>
      </c>
      <c r="J1299" s="11" t="n">
        <f aca="false">E1299-F1299</f>
        <v>10</v>
      </c>
      <c r="K1299" s="10" t="str">
        <f aca="false">IF(G1299&lt;0.2,"0-19%",IF(G1299&lt;0.4,"20-39%",IF(G1299&lt;0.6,"40-59%",IF(G1299&lt;0.8,"60-79%","80%+"))))</f>
        <v>0-19%</v>
      </c>
      <c r="L1299" s="10" t="str">
        <f aca="false">IF(H1299="","No rating",IF(H1299&lt;3.5,"Below 3.5",IF(H1299&lt;4,"3.5-3.9",IF(H1299&lt;4.5,"4.0-4.4","4.5+"))))</f>
        <v>4.0-4.4</v>
      </c>
    </row>
    <row r="1300" customFormat="false" ht="15" hidden="false" customHeight="false" outlineLevel="0" collapsed="false">
      <c r="A1300" s="10" t="s">
        <v>2635</v>
      </c>
      <c r="B1300" s="10" t="s">
        <v>2636</v>
      </c>
      <c r="C1300" s="10" t="s">
        <v>1181</v>
      </c>
      <c r="D1300" s="10" t="s">
        <v>1851</v>
      </c>
      <c r="E1300" s="11" t="n">
        <v>13049</v>
      </c>
      <c r="F1300" s="11" t="n">
        <v>8699</v>
      </c>
      <c r="G1300" s="12" t="n">
        <v>0.33</v>
      </c>
      <c r="H1300" s="13" t="n">
        <v>4.3</v>
      </c>
      <c r="I1300" s="11" t="n">
        <v>5891</v>
      </c>
      <c r="J1300" s="11" t="n">
        <f aca="false">E1300-F1300</f>
        <v>4350</v>
      </c>
      <c r="K1300" s="10" t="str">
        <f aca="false">IF(G1300&lt;0.2,"0-19%",IF(G1300&lt;0.4,"20-39%",IF(G1300&lt;0.6,"40-59%",IF(G1300&lt;0.8,"60-79%","80%+"))))</f>
        <v>20-39%</v>
      </c>
      <c r="L1300" s="10" t="str">
        <f aca="false">IF(H1300="","No rating",IF(H1300&lt;3.5,"Below 3.5",IF(H1300&lt;4,"3.5-3.9",IF(H1300&lt;4.5,"4.0-4.4","4.5+"))))</f>
        <v>4.0-4.4</v>
      </c>
    </row>
    <row r="1301" customFormat="false" ht="15" hidden="false" customHeight="false" outlineLevel="0" collapsed="false">
      <c r="A1301" s="10" t="s">
        <v>2637</v>
      </c>
      <c r="B1301" s="10" t="s">
        <v>2638</v>
      </c>
      <c r="C1301" s="10" t="s">
        <v>1181</v>
      </c>
      <c r="D1301" s="10" t="s">
        <v>1851</v>
      </c>
      <c r="E1301" s="11" t="n">
        <v>5999</v>
      </c>
      <c r="F1301" s="11" t="n">
        <v>3041.67</v>
      </c>
      <c r="G1301" s="12" t="n">
        <v>0.49</v>
      </c>
      <c r="H1301" s="13" t="n">
        <v>4</v>
      </c>
      <c r="I1301" s="11" t="n">
        <v>777</v>
      </c>
      <c r="J1301" s="11" t="n">
        <f aca="false">E1301-F1301</f>
        <v>2957.33</v>
      </c>
      <c r="K1301" s="10" t="str">
        <f aca="false">IF(G1301&lt;0.2,"0-19%",IF(G1301&lt;0.4,"20-39%",IF(G1301&lt;0.6,"40-59%",IF(G1301&lt;0.8,"60-79%","80%+"))))</f>
        <v>40-59%</v>
      </c>
      <c r="L1301" s="10" t="str">
        <f aca="false">IF(H1301="","No rating",IF(H1301&lt;3.5,"Below 3.5",IF(H1301&lt;4,"3.5-3.9",IF(H1301&lt;4.5,"4.0-4.4","4.5+"))))</f>
        <v>4.0-4.4</v>
      </c>
    </row>
    <row r="1302" customFormat="false" ht="15" hidden="false" customHeight="false" outlineLevel="0" collapsed="false">
      <c r="A1302" s="10" t="s">
        <v>2639</v>
      </c>
      <c r="B1302" s="10" t="s">
        <v>2640</v>
      </c>
      <c r="C1302" s="10" t="s">
        <v>1181</v>
      </c>
      <c r="D1302" s="10" t="s">
        <v>1851</v>
      </c>
      <c r="E1302" s="11" t="n">
        <v>2400</v>
      </c>
      <c r="F1302" s="11" t="n">
        <v>1745</v>
      </c>
      <c r="G1302" s="12" t="n">
        <v>0.27</v>
      </c>
      <c r="H1302" s="13" t="n">
        <v>4.2</v>
      </c>
      <c r="I1302" s="11" t="n">
        <v>14160</v>
      </c>
      <c r="J1302" s="11" t="n">
        <f aca="false">E1302-F1302</f>
        <v>655</v>
      </c>
      <c r="K1302" s="10" t="str">
        <f aca="false">IF(G1302&lt;0.2,"0-19%",IF(G1302&lt;0.4,"20-39%",IF(G1302&lt;0.6,"40-59%",IF(G1302&lt;0.8,"60-79%","80%+"))))</f>
        <v>20-39%</v>
      </c>
      <c r="L1302" s="10" t="str">
        <f aca="false">IF(H1302="","No rating",IF(H1302&lt;3.5,"Below 3.5",IF(H1302&lt;4,"3.5-3.9",IF(H1302&lt;4.5,"4.0-4.4","4.5+"))))</f>
        <v>4.0-4.4</v>
      </c>
    </row>
    <row r="1303" customFormat="false" ht="15" hidden="false" customHeight="false" outlineLevel="0" collapsed="false">
      <c r="A1303" s="10" t="s">
        <v>2641</v>
      </c>
      <c r="B1303" s="10" t="s">
        <v>2642</v>
      </c>
      <c r="C1303" s="10" t="s">
        <v>1181</v>
      </c>
      <c r="D1303" s="10" t="s">
        <v>1851</v>
      </c>
      <c r="E1303" s="11" t="n">
        <v>5295</v>
      </c>
      <c r="F1303" s="11" t="n">
        <v>3180</v>
      </c>
      <c r="G1303" s="12" t="n">
        <v>0.4</v>
      </c>
      <c r="H1303" s="13" t="n">
        <v>4.2</v>
      </c>
      <c r="I1303" s="11" t="n">
        <v>6919</v>
      </c>
      <c r="J1303" s="11" t="n">
        <f aca="false">E1303-F1303</f>
        <v>2115</v>
      </c>
      <c r="K1303" s="10" t="str">
        <f aca="false">IF(G1303&lt;0.2,"0-19%",IF(G1303&lt;0.4,"20-39%",IF(G1303&lt;0.6,"40-59%",IF(G1303&lt;0.8,"60-79%","80%+"))))</f>
        <v>40-59%</v>
      </c>
      <c r="L1303" s="10" t="str">
        <f aca="false">IF(H1303="","No rating",IF(H1303&lt;3.5,"Below 3.5",IF(H1303&lt;4,"3.5-3.9",IF(H1303&lt;4.5,"4.0-4.4","4.5+"))))</f>
        <v>4.0-4.4</v>
      </c>
    </row>
    <row r="1304" customFormat="false" ht="15" hidden="false" customHeight="false" outlineLevel="0" collapsed="false">
      <c r="A1304" s="10" t="s">
        <v>2643</v>
      </c>
      <c r="B1304" s="10" t="s">
        <v>2644</v>
      </c>
      <c r="C1304" s="10" t="s">
        <v>1181</v>
      </c>
      <c r="D1304" s="10" t="s">
        <v>1851</v>
      </c>
      <c r="E1304" s="11" t="n">
        <v>24999</v>
      </c>
      <c r="F1304" s="11" t="n">
        <v>4999</v>
      </c>
      <c r="G1304" s="12" t="n">
        <v>0.8</v>
      </c>
      <c r="H1304" s="13" t="n">
        <v>4.5</v>
      </c>
      <c r="I1304" s="11" t="n">
        <v>287</v>
      </c>
      <c r="J1304" s="11" t="n">
        <f aca="false">E1304-F1304</f>
        <v>20000</v>
      </c>
      <c r="K1304" s="10" t="str">
        <f aca="false">IF(G1304&lt;0.2,"0-19%",IF(G1304&lt;0.4,"20-39%",IF(G1304&lt;0.6,"40-59%",IF(G1304&lt;0.8,"60-79%","80%+"))))</f>
        <v>80%+</v>
      </c>
      <c r="L1304" s="10" t="str">
        <f aca="false">IF(H1304="","No rating",IF(H1304&lt;3.5,"Below 3.5",IF(H1304&lt;4,"3.5-3.9",IF(H1304&lt;4.5,"4.0-4.4","4.5+"))))</f>
        <v>4.5+</v>
      </c>
    </row>
    <row r="1305" customFormat="false" ht="15" hidden="false" customHeight="false" outlineLevel="0" collapsed="false">
      <c r="A1305" s="10" t="s">
        <v>2645</v>
      </c>
      <c r="B1305" s="10" t="s">
        <v>2646</v>
      </c>
      <c r="C1305" s="10" t="s">
        <v>1181</v>
      </c>
      <c r="D1305" s="10" t="s">
        <v>1920</v>
      </c>
      <c r="E1305" s="11" t="n">
        <v>799</v>
      </c>
      <c r="F1305" s="11" t="n">
        <v>390</v>
      </c>
      <c r="G1305" s="12" t="n">
        <v>0.51</v>
      </c>
      <c r="H1305" s="13" t="n">
        <v>3.8</v>
      </c>
      <c r="I1305" s="11" t="n">
        <v>287</v>
      </c>
      <c r="J1305" s="11" t="n">
        <f aca="false">E1305-F1305</f>
        <v>409</v>
      </c>
      <c r="K1305" s="10" t="str">
        <f aca="false">IF(G1305&lt;0.2,"0-19%",IF(G1305&lt;0.4,"20-39%",IF(G1305&lt;0.6,"40-59%",IF(G1305&lt;0.8,"60-79%","80%+"))))</f>
        <v>40-59%</v>
      </c>
      <c r="L1305" s="10" t="str">
        <f aca="false">IF(H1305="","No rating",IF(H1305&lt;3.5,"Below 3.5",IF(H1305&lt;4,"3.5-3.9",IF(H1305&lt;4.5,"4.0-4.4","4.5+"))))</f>
        <v>3.5-3.9</v>
      </c>
    </row>
    <row r="1306" customFormat="false" ht="15" hidden="false" customHeight="false" outlineLevel="0" collapsed="false">
      <c r="A1306" s="10" t="s">
        <v>2647</v>
      </c>
      <c r="B1306" s="10" t="s">
        <v>2648</v>
      </c>
      <c r="C1306" s="10" t="s">
        <v>1181</v>
      </c>
      <c r="D1306" s="10" t="s">
        <v>1851</v>
      </c>
      <c r="E1306" s="11" t="n">
        <v>2999</v>
      </c>
      <c r="F1306" s="11" t="n">
        <v>1999</v>
      </c>
      <c r="G1306" s="12" t="n">
        <v>0.33</v>
      </c>
      <c r="H1306" s="13" t="n">
        <v>4.4</v>
      </c>
      <c r="I1306" s="11" t="n">
        <v>388</v>
      </c>
      <c r="J1306" s="11" t="n">
        <f aca="false">E1306-F1306</f>
        <v>1000</v>
      </c>
      <c r="K1306" s="10" t="str">
        <f aca="false">IF(G1306&lt;0.2,"0-19%",IF(G1306&lt;0.4,"20-39%",IF(G1306&lt;0.6,"40-59%",IF(G1306&lt;0.8,"60-79%","80%+"))))</f>
        <v>20-39%</v>
      </c>
      <c r="L1306" s="10" t="str">
        <f aca="false">IF(H1306="","No rating",IF(H1306&lt;3.5,"Below 3.5",IF(H1306&lt;4,"3.5-3.9",IF(H1306&lt;4.5,"4.0-4.4","4.5+"))))</f>
        <v>4.0-4.4</v>
      </c>
    </row>
    <row r="1307" customFormat="false" ht="15" hidden="false" customHeight="false" outlineLevel="0" collapsed="false">
      <c r="A1307" s="10" t="s">
        <v>2649</v>
      </c>
      <c r="B1307" s="10" t="s">
        <v>2650</v>
      </c>
      <c r="C1307" s="10" t="s">
        <v>1181</v>
      </c>
      <c r="D1307" s="10" t="s">
        <v>1851</v>
      </c>
      <c r="E1307" s="11" t="n">
        <v>2495</v>
      </c>
      <c r="F1307" s="11" t="n">
        <v>1624</v>
      </c>
      <c r="G1307" s="12" t="n">
        <v>0.35</v>
      </c>
      <c r="H1307" s="13" t="n">
        <v>4.1</v>
      </c>
      <c r="I1307" s="11" t="n">
        <v>827</v>
      </c>
      <c r="J1307" s="11" t="n">
        <f aca="false">E1307-F1307</f>
        <v>871</v>
      </c>
      <c r="K1307" s="10" t="str">
        <f aca="false">IF(G1307&lt;0.2,"0-19%",IF(G1307&lt;0.4,"20-39%",IF(G1307&lt;0.6,"40-59%",IF(G1307&lt;0.8,"60-79%","80%+"))))</f>
        <v>20-39%</v>
      </c>
      <c r="L1307" s="10" t="str">
        <f aca="false">IF(H1307="","No rating",IF(H1307&lt;3.5,"Below 3.5",IF(H1307&lt;4,"3.5-3.9",IF(H1307&lt;4.5,"4.0-4.4","4.5+"))))</f>
        <v>4.0-4.4</v>
      </c>
    </row>
    <row r="1308" customFormat="false" ht="15" hidden="false" customHeight="false" outlineLevel="0" collapsed="false">
      <c r="A1308" s="10" t="s">
        <v>2651</v>
      </c>
      <c r="B1308" s="10" t="s">
        <v>2652</v>
      </c>
      <c r="C1308" s="10" t="s">
        <v>1181</v>
      </c>
      <c r="D1308" s="10" t="s">
        <v>1851</v>
      </c>
      <c r="E1308" s="11" t="n">
        <v>450</v>
      </c>
      <c r="F1308" s="11" t="n">
        <v>184</v>
      </c>
      <c r="G1308" s="12" t="n">
        <v>0.59</v>
      </c>
      <c r="H1308" s="13" t="n">
        <v>4.2</v>
      </c>
      <c r="I1308" s="11" t="n">
        <v>4971</v>
      </c>
      <c r="J1308" s="11" t="n">
        <f aca="false">E1308-F1308</f>
        <v>266</v>
      </c>
      <c r="K1308" s="10" t="str">
        <f aca="false">IF(G1308&lt;0.2,"0-19%",IF(G1308&lt;0.4,"20-39%",IF(G1308&lt;0.6,"40-59%",IF(G1308&lt;0.8,"60-79%","80%+"))))</f>
        <v>40-59%</v>
      </c>
      <c r="L1308" s="10" t="str">
        <f aca="false">IF(H1308="","No rating",IF(H1308&lt;3.5,"Below 3.5",IF(H1308&lt;4,"3.5-3.9",IF(H1308&lt;4.5,"4.0-4.4","4.5+"))))</f>
        <v>4.0-4.4</v>
      </c>
    </row>
    <row r="1309" customFormat="false" ht="15" hidden="false" customHeight="false" outlineLevel="0" collapsed="false">
      <c r="A1309" s="10" t="s">
        <v>2653</v>
      </c>
      <c r="B1309" s="10" t="s">
        <v>2654</v>
      </c>
      <c r="C1309" s="10" t="s">
        <v>1181</v>
      </c>
      <c r="D1309" s="10" t="s">
        <v>1851</v>
      </c>
      <c r="E1309" s="11" t="n">
        <v>999</v>
      </c>
      <c r="F1309" s="11" t="n">
        <v>445</v>
      </c>
      <c r="G1309" s="12" t="n">
        <v>0.55</v>
      </c>
      <c r="H1309" s="13" t="n">
        <v>4.3</v>
      </c>
      <c r="I1309" s="11" t="n">
        <v>229</v>
      </c>
      <c r="J1309" s="11" t="n">
        <f aca="false">E1309-F1309</f>
        <v>554</v>
      </c>
      <c r="K1309" s="10" t="str">
        <f aca="false">IF(G1309&lt;0.2,"0-19%",IF(G1309&lt;0.4,"20-39%",IF(G1309&lt;0.6,"40-59%",IF(G1309&lt;0.8,"60-79%","80%+"))))</f>
        <v>40-59%</v>
      </c>
      <c r="L1309" s="10" t="str">
        <f aca="false">IF(H1309="","No rating",IF(H1309&lt;3.5,"Below 3.5",IF(H1309&lt;4,"3.5-3.9",IF(H1309&lt;4.5,"4.0-4.4","4.5+"))))</f>
        <v>4.0-4.4</v>
      </c>
    </row>
    <row r="1310" customFormat="false" ht="15" hidden="false" customHeight="false" outlineLevel="0" collapsed="false">
      <c r="A1310" s="10" t="s">
        <v>2655</v>
      </c>
      <c r="B1310" s="10" t="s">
        <v>2656</v>
      </c>
      <c r="C1310" s="10" t="s">
        <v>1181</v>
      </c>
      <c r="D1310" s="10" t="s">
        <v>1854</v>
      </c>
      <c r="E1310" s="11" t="n">
        <v>1690</v>
      </c>
      <c r="F1310" s="11" t="n">
        <v>699</v>
      </c>
      <c r="G1310" s="12" t="n">
        <v>0.59</v>
      </c>
      <c r="H1310" s="13" t="n">
        <v>4.1</v>
      </c>
      <c r="I1310" s="11" t="n">
        <v>3524</v>
      </c>
      <c r="J1310" s="11" t="n">
        <f aca="false">E1310-F1310</f>
        <v>991</v>
      </c>
      <c r="K1310" s="10" t="str">
        <f aca="false">IF(G1310&lt;0.2,"0-19%",IF(G1310&lt;0.4,"20-39%",IF(G1310&lt;0.6,"40-59%",IF(G1310&lt;0.8,"60-79%","80%+"))))</f>
        <v>40-59%</v>
      </c>
      <c r="L1310" s="10" t="str">
        <f aca="false">IF(H1310="","No rating",IF(H1310&lt;3.5,"Below 3.5",IF(H1310&lt;4,"3.5-3.9",IF(H1310&lt;4.5,"4.0-4.4","4.5+"))))</f>
        <v>4.0-4.4</v>
      </c>
    </row>
    <row r="1311" customFormat="false" ht="15" hidden="false" customHeight="false" outlineLevel="0" collapsed="false">
      <c r="A1311" s="10" t="s">
        <v>2657</v>
      </c>
      <c r="B1311" s="10" t="s">
        <v>2658</v>
      </c>
      <c r="C1311" s="10" t="s">
        <v>1181</v>
      </c>
      <c r="D1311" s="10" t="s">
        <v>1851</v>
      </c>
      <c r="E1311" s="11" t="n">
        <v>3890</v>
      </c>
      <c r="F1311" s="11" t="n">
        <v>1601</v>
      </c>
      <c r="G1311" s="12" t="n">
        <v>0.59</v>
      </c>
      <c r="H1311" s="13" t="n">
        <v>4.2</v>
      </c>
      <c r="I1311" s="11" t="n">
        <v>156</v>
      </c>
      <c r="J1311" s="11" t="n">
        <f aca="false">E1311-F1311</f>
        <v>2289</v>
      </c>
      <c r="K1311" s="10" t="str">
        <f aca="false">IF(G1311&lt;0.2,"0-19%",IF(G1311&lt;0.4,"20-39%",IF(G1311&lt;0.6,"40-59%",IF(G1311&lt;0.8,"60-79%","80%+"))))</f>
        <v>40-59%</v>
      </c>
      <c r="L1311" s="10" t="str">
        <f aca="false">IF(H1311="","No rating",IF(H1311&lt;3.5,"Below 3.5",IF(H1311&lt;4,"3.5-3.9",IF(H1311&lt;4.5,"4.0-4.4","4.5+"))))</f>
        <v>4.0-4.4</v>
      </c>
    </row>
    <row r="1312" customFormat="false" ht="15" hidden="false" customHeight="false" outlineLevel="0" collapsed="false">
      <c r="A1312" s="10" t="s">
        <v>2659</v>
      </c>
      <c r="B1312" s="10" t="s">
        <v>2660</v>
      </c>
      <c r="C1312" s="10" t="s">
        <v>1181</v>
      </c>
      <c r="D1312" s="10" t="s">
        <v>1851</v>
      </c>
      <c r="E1312" s="11" t="n">
        <v>260</v>
      </c>
      <c r="F1312" s="11" t="n">
        <v>231</v>
      </c>
      <c r="G1312" s="12" t="n">
        <v>0.11</v>
      </c>
      <c r="H1312" s="13" t="n">
        <v>4.1</v>
      </c>
      <c r="I1312" s="11" t="n">
        <v>490</v>
      </c>
      <c r="J1312" s="11" t="n">
        <f aca="false">E1312-F1312</f>
        <v>29</v>
      </c>
      <c r="K1312" s="10" t="str">
        <f aca="false">IF(G1312&lt;0.2,"0-19%",IF(G1312&lt;0.4,"20-39%",IF(G1312&lt;0.6,"40-59%",IF(G1312&lt;0.8,"60-79%","80%+"))))</f>
        <v>0-19%</v>
      </c>
      <c r="L1312" s="10" t="str">
        <f aca="false">IF(H1312="","No rating",IF(H1312&lt;3.5,"Below 3.5",IF(H1312&lt;4,"3.5-3.9",IF(H1312&lt;4.5,"4.0-4.4","4.5+"))))</f>
        <v>4.0-4.4</v>
      </c>
    </row>
    <row r="1313" customFormat="false" ht="15" hidden="false" customHeight="false" outlineLevel="0" collapsed="false">
      <c r="A1313" s="10" t="s">
        <v>2661</v>
      </c>
      <c r="B1313" s="10" t="s">
        <v>2662</v>
      </c>
      <c r="C1313" s="10" t="s">
        <v>1181</v>
      </c>
      <c r="D1313" s="10" t="s">
        <v>1851</v>
      </c>
      <c r="E1313" s="11" t="n">
        <v>599</v>
      </c>
      <c r="F1313" s="11" t="n">
        <v>369</v>
      </c>
      <c r="G1313" s="12" t="n">
        <v>0.38</v>
      </c>
      <c r="H1313" s="13" t="n">
        <v>3.9</v>
      </c>
      <c r="I1313" s="11" t="n">
        <v>82</v>
      </c>
      <c r="J1313" s="11" t="n">
        <f aca="false">E1313-F1313</f>
        <v>230</v>
      </c>
      <c r="K1313" s="10" t="str">
        <f aca="false">IF(G1313&lt;0.2,"0-19%",IF(G1313&lt;0.4,"20-39%",IF(G1313&lt;0.6,"40-59%",IF(G1313&lt;0.8,"60-79%","80%+"))))</f>
        <v>20-39%</v>
      </c>
      <c r="L1313" s="10" t="str">
        <f aca="false">IF(H1313="","No rating",IF(H1313&lt;3.5,"Below 3.5",IF(H1313&lt;4,"3.5-3.9",IF(H1313&lt;4.5,"4.0-4.4","4.5+"))))</f>
        <v>3.5-3.9</v>
      </c>
    </row>
    <row r="1314" customFormat="false" ht="15" hidden="false" customHeight="false" outlineLevel="0" collapsed="false">
      <c r="A1314" s="10" t="s">
        <v>2663</v>
      </c>
      <c r="B1314" s="10" t="s">
        <v>2664</v>
      </c>
      <c r="C1314" s="10" t="s">
        <v>1181</v>
      </c>
      <c r="D1314" s="10" t="s">
        <v>1851</v>
      </c>
      <c r="E1314" s="11" t="n">
        <v>1950</v>
      </c>
      <c r="F1314" s="11" t="n">
        <v>809</v>
      </c>
      <c r="G1314" s="12" t="n">
        <v>0.59</v>
      </c>
      <c r="H1314" s="13" t="n">
        <v>3.9</v>
      </c>
      <c r="I1314" s="11" t="n">
        <v>710</v>
      </c>
      <c r="J1314" s="11" t="n">
        <f aca="false">E1314-F1314</f>
        <v>1141</v>
      </c>
      <c r="K1314" s="10" t="str">
        <f aca="false">IF(G1314&lt;0.2,"0-19%",IF(G1314&lt;0.4,"20-39%",IF(G1314&lt;0.6,"40-59%",IF(G1314&lt;0.8,"60-79%","80%+"))))</f>
        <v>40-59%</v>
      </c>
      <c r="L1314" s="10" t="str">
        <f aca="false">IF(H1314="","No rating",IF(H1314&lt;3.5,"Below 3.5",IF(H1314&lt;4,"3.5-3.9",IF(H1314&lt;4.5,"4.0-4.4","4.5+"))))</f>
        <v>3.5-3.9</v>
      </c>
    </row>
    <row r="1315" customFormat="false" ht="15" hidden="false" customHeight="false" outlineLevel="0" collapsed="false">
      <c r="A1315" s="10" t="s">
        <v>2665</v>
      </c>
      <c r="B1315" s="10" t="s">
        <v>2666</v>
      </c>
      <c r="C1315" s="10" t="s">
        <v>1181</v>
      </c>
      <c r="D1315" s="10" t="s">
        <v>1851</v>
      </c>
      <c r="E1315" s="11" t="n">
        <v>2990</v>
      </c>
      <c r="F1315" s="11" t="n">
        <v>1199</v>
      </c>
      <c r="G1315" s="12" t="n">
        <v>0.6</v>
      </c>
      <c r="H1315" s="13" t="n">
        <v>3.8</v>
      </c>
      <c r="I1315" s="11" t="n">
        <v>133</v>
      </c>
      <c r="J1315" s="11" t="n">
        <f aca="false">E1315-F1315</f>
        <v>1791</v>
      </c>
      <c r="K1315" s="10" t="str">
        <f aca="false">IF(G1315&lt;0.2,"0-19%",IF(G1315&lt;0.4,"20-39%",IF(G1315&lt;0.6,"40-59%",IF(G1315&lt;0.8,"60-79%","80%+"))))</f>
        <v>60-79%</v>
      </c>
      <c r="L1315" s="10" t="str">
        <f aca="false">IF(H1315="","No rating",IF(H1315&lt;3.5,"Below 3.5",IF(H1315&lt;4,"3.5-3.9",IF(H1315&lt;4.5,"4.0-4.4","4.5+"))))</f>
        <v>3.5-3.9</v>
      </c>
    </row>
    <row r="1316" customFormat="false" ht="15" hidden="false" customHeight="false" outlineLevel="0" collapsed="false">
      <c r="A1316" s="10" t="s">
        <v>2667</v>
      </c>
      <c r="B1316" s="10" t="s">
        <v>2668</v>
      </c>
      <c r="C1316" s="10" t="s">
        <v>1181</v>
      </c>
      <c r="D1316" s="10" t="s">
        <v>1851</v>
      </c>
      <c r="E1316" s="11" t="n">
        <v>8073</v>
      </c>
      <c r="F1316" s="11" t="n">
        <v>6120</v>
      </c>
      <c r="G1316" s="12" t="n">
        <v>0.24</v>
      </c>
      <c r="H1316" s="13" t="n">
        <v>4.6</v>
      </c>
      <c r="I1316" s="11" t="n">
        <v>2751</v>
      </c>
      <c r="J1316" s="11" t="n">
        <f aca="false">E1316-F1316</f>
        <v>1953</v>
      </c>
      <c r="K1316" s="10" t="str">
        <f aca="false">IF(G1316&lt;0.2,"0-19%",IF(G1316&lt;0.4,"20-39%",IF(G1316&lt;0.6,"40-59%",IF(G1316&lt;0.8,"60-79%","80%+"))))</f>
        <v>20-39%</v>
      </c>
      <c r="L1316" s="10" t="str">
        <f aca="false">IF(H1316="","No rating",IF(H1316&lt;3.5,"Below 3.5",IF(H1316&lt;4,"3.5-3.9",IF(H1316&lt;4.5,"4.0-4.4","4.5+"))))</f>
        <v>4.5+</v>
      </c>
    </row>
    <row r="1317" customFormat="false" ht="15" hidden="false" customHeight="false" outlineLevel="0" collapsed="false">
      <c r="A1317" s="10" t="s">
        <v>2669</v>
      </c>
      <c r="B1317" s="10" t="s">
        <v>2670</v>
      </c>
      <c r="C1317" s="10" t="s">
        <v>1181</v>
      </c>
      <c r="D1317" s="10" t="s">
        <v>1851</v>
      </c>
      <c r="E1317" s="11" t="n">
        <v>2599</v>
      </c>
      <c r="F1317" s="11" t="n">
        <v>1799</v>
      </c>
      <c r="G1317" s="12" t="n">
        <v>0.31</v>
      </c>
      <c r="H1317" s="13" t="n">
        <v>3.6</v>
      </c>
      <c r="I1317" s="11" t="n">
        <v>771</v>
      </c>
      <c r="J1317" s="11" t="n">
        <f aca="false">E1317-F1317</f>
        <v>800</v>
      </c>
      <c r="K1317" s="10" t="str">
        <f aca="false">IF(G1317&lt;0.2,"0-19%",IF(G1317&lt;0.4,"20-39%",IF(G1317&lt;0.6,"40-59%",IF(G1317&lt;0.8,"60-79%","80%+"))))</f>
        <v>20-39%</v>
      </c>
      <c r="L1317" s="10" t="str">
        <f aca="false">IF(H1317="","No rating",IF(H1317&lt;3.5,"Below 3.5",IF(H1317&lt;4,"3.5-3.9",IF(H1317&lt;4.5,"4.0-4.4","4.5+"))))</f>
        <v>3.5-3.9</v>
      </c>
    </row>
    <row r="1318" customFormat="false" ht="15" hidden="false" customHeight="false" outlineLevel="0" collapsed="false">
      <c r="A1318" s="10" t="s">
        <v>2671</v>
      </c>
      <c r="B1318" s="10" t="s">
        <v>2672</v>
      </c>
      <c r="C1318" s="10" t="s">
        <v>1181</v>
      </c>
      <c r="D1318" s="10" t="s">
        <v>1851</v>
      </c>
      <c r="E1318" s="11" t="n">
        <v>29999</v>
      </c>
      <c r="F1318" s="11" t="n">
        <v>18999</v>
      </c>
      <c r="G1318" s="12" t="n">
        <v>0.37</v>
      </c>
      <c r="H1318" s="13" t="n">
        <v>4.1</v>
      </c>
      <c r="I1318" s="11" t="n">
        <v>2536</v>
      </c>
      <c r="J1318" s="11" t="n">
        <f aca="false">E1318-F1318</f>
        <v>11000</v>
      </c>
      <c r="K1318" s="10" t="str">
        <f aca="false">IF(G1318&lt;0.2,"0-19%",IF(G1318&lt;0.4,"20-39%",IF(G1318&lt;0.6,"40-59%",IF(G1318&lt;0.8,"60-79%","80%+"))))</f>
        <v>20-39%</v>
      </c>
      <c r="L1318" s="10" t="str">
        <f aca="false">IF(H1318="","No rating",IF(H1318&lt;3.5,"Below 3.5",IF(H1318&lt;4,"3.5-3.9",IF(H1318&lt;4.5,"4.0-4.4","4.5+"))))</f>
        <v>4.0-4.4</v>
      </c>
    </row>
    <row r="1319" customFormat="false" ht="15" hidden="false" customHeight="false" outlineLevel="0" collapsed="false">
      <c r="A1319" s="10" t="s">
        <v>2673</v>
      </c>
      <c r="B1319" s="10" t="s">
        <v>2674</v>
      </c>
      <c r="C1319" s="10" t="s">
        <v>1181</v>
      </c>
      <c r="D1319" s="10" t="s">
        <v>1854</v>
      </c>
      <c r="E1319" s="11" t="n">
        <v>2360</v>
      </c>
      <c r="F1319" s="11" t="n">
        <v>1999</v>
      </c>
      <c r="G1319" s="12" t="n">
        <v>0.15</v>
      </c>
      <c r="H1319" s="13" t="n">
        <v>4.2</v>
      </c>
      <c r="I1319" s="11" t="n">
        <v>7801</v>
      </c>
      <c r="J1319" s="11" t="n">
        <f aca="false">E1319-F1319</f>
        <v>361</v>
      </c>
      <c r="K1319" s="10" t="str">
        <f aca="false">IF(G1319&lt;0.2,"0-19%",IF(G1319&lt;0.4,"20-39%",IF(G1319&lt;0.6,"40-59%",IF(G1319&lt;0.8,"60-79%","80%+"))))</f>
        <v>0-19%</v>
      </c>
      <c r="L1319" s="10" t="str">
        <f aca="false">IF(H1319="","No rating",IF(H1319&lt;3.5,"Below 3.5",IF(H1319&lt;4,"3.5-3.9",IF(H1319&lt;4.5,"4.0-4.4","4.5+"))))</f>
        <v>4.0-4.4</v>
      </c>
    </row>
    <row r="1320" customFormat="false" ht="15" hidden="false" customHeight="false" outlineLevel="0" collapsed="false">
      <c r="A1320" s="10" t="s">
        <v>2675</v>
      </c>
      <c r="B1320" s="10" t="s">
        <v>2676</v>
      </c>
      <c r="C1320" s="10" t="s">
        <v>1181</v>
      </c>
      <c r="D1320" s="10" t="s">
        <v>1851</v>
      </c>
      <c r="E1320" s="11" t="n">
        <v>11495</v>
      </c>
      <c r="F1320" s="11" t="n">
        <v>5999</v>
      </c>
      <c r="G1320" s="12" t="n">
        <v>0.48</v>
      </c>
      <c r="H1320" s="13" t="n">
        <v>4.3</v>
      </c>
      <c r="I1320" s="11" t="n">
        <v>534</v>
      </c>
      <c r="J1320" s="11" t="n">
        <f aca="false">E1320-F1320</f>
        <v>5496</v>
      </c>
      <c r="K1320" s="10" t="str">
        <f aca="false">IF(G1320&lt;0.2,"0-19%",IF(G1320&lt;0.4,"20-39%",IF(G1320&lt;0.6,"40-59%",IF(G1320&lt;0.8,"60-79%","80%+"))))</f>
        <v>40-59%</v>
      </c>
      <c r="L1320" s="10" t="str">
        <f aca="false">IF(H1320="","No rating",IF(H1320&lt;3.5,"Below 3.5",IF(H1320&lt;4,"3.5-3.9",IF(H1320&lt;4.5,"4.0-4.4","4.5+"))))</f>
        <v>4.0-4.4</v>
      </c>
    </row>
    <row r="1321" customFormat="false" ht="15" hidden="false" customHeight="false" outlineLevel="0" collapsed="false">
      <c r="A1321" s="10" t="s">
        <v>2677</v>
      </c>
      <c r="B1321" s="10" t="s">
        <v>2678</v>
      </c>
      <c r="C1321" s="10" t="s">
        <v>1181</v>
      </c>
      <c r="D1321" s="10" t="s">
        <v>1854</v>
      </c>
      <c r="E1321" s="11" t="n">
        <v>4780</v>
      </c>
      <c r="F1321" s="11" t="n">
        <v>2599</v>
      </c>
      <c r="G1321" s="12" t="n">
        <v>0.46</v>
      </c>
      <c r="H1321" s="13" t="n">
        <v>3.9</v>
      </c>
      <c r="I1321" s="11" t="n">
        <v>898</v>
      </c>
      <c r="J1321" s="11" t="n">
        <f aca="false">E1321-F1321</f>
        <v>2181</v>
      </c>
      <c r="K1321" s="10" t="str">
        <f aca="false">IF(G1321&lt;0.2,"0-19%",IF(G1321&lt;0.4,"20-39%",IF(G1321&lt;0.6,"40-59%",IF(G1321&lt;0.8,"60-79%","80%+"))))</f>
        <v>40-59%</v>
      </c>
      <c r="L1321" s="10" t="str">
        <f aca="false">IF(H1321="","No rating",IF(H1321&lt;3.5,"Below 3.5",IF(H1321&lt;4,"3.5-3.9",IF(H1321&lt;4.5,"4.0-4.4","4.5+"))))</f>
        <v>3.5-3.9</v>
      </c>
    </row>
    <row r="1322" customFormat="false" ht="15" hidden="false" customHeight="false" outlineLevel="0" collapsed="false">
      <c r="A1322" s="10" t="s">
        <v>2679</v>
      </c>
      <c r="B1322" s="10" t="s">
        <v>2680</v>
      </c>
      <c r="C1322" s="10" t="s">
        <v>1181</v>
      </c>
      <c r="D1322" s="10" t="s">
        <v>1851</v>
      </c>
      <c r="E1322" s="11" t="n">
        <v>2400</v>
      </c>
      <c r="F1322" s="11" t="n">
        <v>1199</v>
      </c>
      <c r="G1322" s="12" t="n">
        <v>0.5</v>
      </c>
      <c r="H1322" s="13" t="n">
        <v>3.9</v>
      </c>
      <c r="I1322" s="11" t="n">
        <v>1202</v>
      </c>
      <c r="J1322" s="11" t="n">
        <f aca="false">E1322-F1322</f>
        <v>1201</v>
      </c>
      <c r="K1322" s="10" t="str">
        <f aca="false">IF(G1322&lt;0.2,"0-19%",IF(G1322&lt;0.4,"20-39%",IF(G1322&lt;0.6,"40-59%",IF(G1322&lt;0.8,"60-79%","80%+"))))</f>
        <v>40-59%</v>
      </c>
      <c r="L1322" s="10" t="str">
        <f aca="false">IF(H1322="","No rating",IF(H1322&lt;3.5,"Below 3.5",IF(H1322&lt;4,"3.5-3.9",IF(H1322&lt;4.5,"4.0-4.4","4.5+"))))</f>
        <v>3.5-3.9</v>
      </c>
    </row>
    <row r="1323" customFormat="false" ht="15" hidden="false" customHeight="false" outlineLevel="0" collapsed="false">
      <c r="A1323" s="10" t="s">
        <v>2681</v>
      </c>
      <c r="B1323" s="10" t="s">
        <v>2682</v>
      </c>
      <c r="C1323" s="10" t="s">
        <v>1181</v>
      </c>
      <c r="D1323" s="10" t="s">
        <v>1920</v>
      </c>
      <c r="E1323" s="11" t="n">
        <v>249</v>
      </c>
      <c r="F1323" s="11" t="n">
        <v>219</v>
      </c>
      <c r="G1323" s="12" t="n">
        <v>0.12</v>
      </c>
      <c r="H1323" s="13" t="n">
        <v>4</v>
      </c>
      <c r="I1323" s="11" t="n">
        <v>1108</v>
      </c>
      <c r="J1323" s="11" t="n">
        <f aca="false">E1323-F1323</f>
        <v>30</v>
      </c>
      <c r="K1323" s="10" t="str">
        <f aca="false">IF(G1323&lt;0.2,"0-19%",IF(G1323&lt;0.4,"20-39%",IF(G1323&lt;0.6,"40-59%",IF(G1323&lt;0.8,"60-79%","80%+"))))</f>
        <v>0-19%</v>
      </c>
      <c r="L1323" s="10" t="str">
        <f aca="false">IF(H1323="","No rating",IF(H1323&lt;3.5,"Below 3.5",IF(H1323&lt;4,"3.5-3.9",IF(H1323&lt;4.5,"4.0-4.4","4.5+"))))</f>
        <v>4.0-4.4</v>
      </c>
    </row>
    <row r="1324" customFormat="false" ht="15" hidden="false" customHeight="false" outlineLevel="0" collapsed="false">
      <c r="A1324" s="10" t="s">
        <v>2683</v>
      </c>
      <c r="B1324" s="10" t="s">
        <v>2684</v>
      </c>
      <c r="C1324" s="10" t="s">
        <v>1181</v>
      </c>
      <c r="D1324" s="10" t="s">
        <v>1854</v>
      </c>
      <c r="E1324" s="11" t="n">
        <v>1199</v>
      </c>
      <c r="F1324" s="11" t="n">
        <v>799</v>
      </c>
      <c r="G1324" s="12" t="n">
        <v>0.33</v>
      </c>
      <c r="H1324" s="13" t="n">
        <v>4.4</v>
      </c>
      <c r="I1324" s="11" t="n">
        <v>17</v>
      </c>
      <c r="J1324" s="11" t="n">
        <f aca="false">E1324-F1324</f>
        <v>400</v>
      </c>
      <c r="K1324" s="10" t="str">
        <f aca="false">IF(G1324&lt;0.2,"0-19%",IF(G1324&lt;0.4,"20-39%",IF(G1324&lt;0.6,"40-59%",IF(G1324&lt;0.8,"60-79%","80%+"))))</f>
        <v>20-39%</v>
      </c>
      <c r="L1324" s="10" t="str">
        <f aca="false">IF(H1324="","No rating",IF(H1324&lt;3.5,"Below 3.5",IF(H1324&lt;4,"3.5-3.9",IF(H1324&lt;4.5,"4.0-4.4","4.5+"))))</f>
        <v>4.0-4.4</v>
      </c>
    </row>
    <row r="1325" customFormat="false" ht="15" hidden="false" customHeight="false" outlineLevel="0" collapsed="false">
      <c r="A1325" s="10" t="s">
        <v>2685</v>
      </c>
      <c r="B1325" s="10" t="s">
        <v>2686</v>
      </c>
      <c r="C1325" s="10" t="s">
        <v>1181</v>
      </c>
      <c r="D1325" s="10" t="s">
        <v>1851</v>
      </c>
      <c r="E1325" s="11" t="n">
        <v>10999</v>
      </c>
      <c r="F1325" s="11" t="n">
        <v>6199</v>
      </c>
      <c r="G1325" s="12" t="n">
        <v>0.44</v>
      </c>
      <c r="H1325" s="13" t="n">
        <v>4.2</v>
      </c>
      <c r="I1325" s="11" t="n">
        <v>10429</v>
      </c>
      <c r="J1325" s="11" t="n">
        <f aca="false">E1325-F1325</f>
        <v>4800</v>
      </c>
      <c r="K1325" s="10" t="str">
        <f aca="false">IF(G1325&lt;0.2,"0-19%",IF(G1325&lt;0.4,"20-39%",IF(G1325&lt;0.6,"40-59%",IF(G1325&lt;0.8,"60-79%","80%+"))))</f>
        <v>40-59%</v>
      </c>
      <c r="L1325" s="10" t="str">
        <f aca="false">IF(H1325="","No rating",IF(H1325&lt;3.5,"Below 3.5",IF(H1325&lt;4,"3.5-3.9",IF(H1325&lt;4.5,"4.0-4.4","4.5+"))))</f>
        <v>4.0-4.4</v>
      </c>
    </row>
    <row r="1326" customFormat="false" ht="15" hidden="false" customHeight="false" outlineLevel="0" collapsed="false">
      <c r="A1326" s="10" t="s">
        <v>2687</v>
      </c>
      <c r="B1326" s="10" t="s">
        <v>2688</v>
      </c>
      <c r="C1326" s="10" t="s">
        <v>1181</v>
      </c>
      <c r="D1326" s="10" t="s">
        <v>1851</v>
      </c>
      <c r="E1326" s="11" t="n">
        <v>10995</v>
      </c>
      <c r="F1326" s="11" t="n">
        <v>6790</v>
      </c>
      <c r="G1326" s="12" t="n">
        <v>0.38</v>
      </c>
      <c r="H1326" s="13" t="n">
        <v>4.5</v>
      </c>
      <c r="I1326" s="11" t="n">
        <v>3192</v>
      </c>
      <c r="J1326" s="11" t="n">
        <f aca="false">E1326-F1326</f>
        <v>4205</v>
      </c>
      <c r="K1326" s="10" t="str">
        <f aca="false">IF(G1326&lt;0.2,"0-19%",IF(G1326&lt;0.4,"20-39%",IF(G1326&lt;0.6,"40-59%",IF(G1326&lt;0.8,"60-79%","80%+"))))</f>
        <v>20-39%</v>
      </c>
      <c r="L1326" s="10" t="str">
        <f aca="false">IF(H1326="","No rating",IF(H1326&lt;3.5,"Below 3.5",IF(H1326&lt;4,"3.5-3.9",IF(H1326&lt;4.5,"4.0-4.4","4.5+"))))</f>
        <v>4.5+</v>
      </c>
    </row>
    <row r="1327" customFormat="false" ht="15" hidden="false" customHeight="false" outlineLevel="0" collapsed="false">
      <c r="A1327" s="10" t="s">
        <v>2689</v>
      </c>
      <c r="B1327" s="10" t="s">
        <v>2690</v>
      </c>
      <c r="C1327" s="10" t="s">
        <v>1181</v>
      </c>
      <c r="D1327" s="10" t="s">
        <v>1854</v>
      </c>
      <c r="E1327" s="11" t="n">
        <v>3300</v>
      </c>
      <c r="F1327" s="11" t="n">
        <v>1982.84</v>
      </c>
      <c r="G1327" s="12" t="n">
        <v>0.4</v>
      </c>
      <c r="H1327" s="13" t="n">
        <v>4.1</v>
      </c>
      <c r="I1327" s="11" t="n">
        <v>5873</v>
      </c>
      <c r="J1327" s="11" t="n">
        <f aca="false">E1327-F1327</f>
        <v>1317.16</v>
      </c>
      <c r="K1327" s="10" t="str">
        <f aca="false">IF(G1327&lt;0.2,"0-19%",IF(G1327&lt;0.4,"20-39%",IF(G1327&lt;0.6,"40-59%",IF(G1327&lt;0.8,"60-79%","80%+"))))</f>
        <v>40-59%</v>
      </c>
      <c r="L1327" s="10" t="str">
        <f aca="false">IF(H1327="","No rating",IF(H1327&lt;3.5,"Below 3.5",IF(H1327&lt;4,"3.5-3.9",IF(H1327&lt;4.5,"4.0-4.4","4.5+"))))</f>
        <v>4.0-4.4</v>
      </c>
    </row>
    <row r="1328" customFormat="false" ht="15" hidden="false" customHeight="false" outlineLevel="0" collapsed="false">
      <c r="A1328" s="10" t="s">
        <v>2691</v>
      </c>
      <c r="B1328" s="10" t="s">
        <v>2692</v>
      </c>
      <c r="C1328" s="10" t="s">
        <v>1181</v>
      </c>
      <c r="D1328" s="10" t="s">
        <v>1851</v>
      </c>
      <c r="E1328" s="11" t="n">
        <v>400</v>
      </c>
      <c r="F1328" s="11" t="n">
        <v>199</v>
      </c>
      <c r="G1328" s="12" t="n">
        <v>0.5</v>
      </c>
      <c r="H1328" s="13" t="n">
        <v>4.1</v>
      </c>
      <c r="I1328" s="11" t="n">
        <v>1379</v>
      </c>
      <c r="J1328" s="11" t="n">
        <f aca="false">E1328-F1328</f>
        <v>201</v>
      </c>
      <c r="K1328" s="10" t="str">
        <f aca="false">IF(G1328&lt;0.2,"0-19%",IF(G1328&lt;0.4,"20-39%",IF(G1328&lt;0.6,"40-59%",IF(G1328&lt;0.8,"60-79%","80%+"))))</f>
        <v>40-59%</v>
      </c>
      <c r="L1328" s="10" t="str">
        <f aca="false">IF(H1328="","No rating",IF(H1328&lt;3.5,"Below 3.5",IF(H1328&lt;4,"3.5-3.9",IF(H1328&lt;4.5,"4.0-4.4","4.5+"))))</f>
        <v>4.0-4.4</v>
      </c>
    </row>
    <row r="1329" customFormat="false" ht="15" hidden="false" customHeight="false" outlineLevel="0" collapsed="false">
      <c r="A1329" s="10" t="s">
        <v>2693</v>
      </c>
      <c r="B1329" s="10" t="s">
        <v>2694</v>
      </c>
      <c r="C1329" s="10" t="s">
        <v>1181</v>
      </c>
      <c r="D1329" s="10" t="s">
        <v>1851</v>
      </c>
      <c r="E1329" s="11" t="n">
        <v>1440</v>
      </c>
      <c r="F1329" s="11" t="n">
        <v>1180</v>
      </c>
      <c r="G1329" s="12" t="n">
        <v>0.18</v>
      </c>
      <c r="H1329" s="13" t="n">
        <v>4.2</v>
      </c>
      <c r="I1329" s="11" t="n">
        <v>1527</v>
      </c>
      <c r="J1329" s="11" t="n">
        <f aca="false">E1329-F1329</f>
        <v>260</v>
      </c>
      <c r="K1329" s="10" t="str">
        <f aca="false">IF(G1329&lt;0.2,"0-19%",IF(G1329&lt;0.4,"20-39%",IF(G1329&lt;0.6,"40-59%",IF(G1329&lt;0.8,"60-79%","80%+"))))</f>
        <v>0-19%</v>
      </c>
      <c r="L1329" s="10" t="str">
        <f aca="false">IF(H1329="","No rating",IF(H1329&lt;3.5,"Below 3.5",IF(H1329&lt;4,"3.5-3.9",IF(H1329&lt;4.5,"4.0-4.4","4.5+"))))</f>
        <v>4.0-4.4</v>
      </c>
    </row>
    <row r="1330" customFormat="false" ht="15" hidden="false" customHeight="false" outlineLevel="0" collapsed="false">
      <c r="A1330" s="10" t="s">
        <v>2695</v>
      </c>
      <c r="B1330" s="10" t="s">
        <v>2696</v>
      </c>
      <c r="C1330" s="10" t="s">
        <v>1181</v>
      </c>
      <c r="D1330" s="10" t="s">
        <v>1854</v>
      </c>
      <c r="E1330" s="11" t="n">
        <v>3045</v>
      </c>
      <c r="F1330" s="11" t="n">
        <v>2199</v>
      </c>
      <c r="G1330" s="12" t="n">
        <v>0.28</v>
      </c>
      <c r="H1330" s="13" t="n">
        <v>4.2</v>
      </c>
      <c r="I1330" s="11" t="n">
        <v>2686</v>
      </c>
      <c r="J1330" s="11" t="n">
        <f aca="false">E1330-F1330</f>
        <v>846</v>
      </c>
      <c r="K1330" s="10" t="str">
        <f aca="false">IF(G1330&lt;0.2,"0-19%",IF(G1330&lt;0.4,"20-39%",IF(G1330&lt;0.6,"40-59%",IF(G1330&lt;0.8,"60-79%","80%+"))))</f>
        <v>20-39%</v>
      </c>
      <c r="L1330" s="10" t="str">
        <f aca="false">IF(H1330="","No rating",IF(H1330&lt;3.5,"Below 3.5",IF(H1330&lt;4,"3.5-3.9",IF(H1330&lt;4.5,"4.0-4.4","4.5+"))))</f>
        <v>4.0-4.4</v>
      </c>
    </row>
    <row r="1331" customFormat="false" ht="15" hidden="false" customHeight="false" outlineLevel="0" collapsed="false">
      <c r="A1331" s="10" t="s">
        <v>2697</v>
      </c>
      <c r="B1331" s="10" t="s">
        <v>2698</v>
      </c>
      <c r="C1331" s="10" t="s">
        <v>1181</v>
      </c>
      <c r="D1331" s="10" t="s">
        <v>1851</v>
      </c>
      <c r="E1331" s="11" t="n">
        <v>3595</v>
      </c>
      <c r="F1331" s="11" t="n">
        <v>2999</v>
      </c>
      <c r="G1331" s="12" t="n">
        <v>0.17</v>
      </c>
      <c r="H1331" s="13" t="n">
        <v>4</v>
      </c>
      <c r="I1331" s="11" t="n">
        <v>178</v>
      </c>
      <c r="J1331" s="11" t="n">
        <f aca="false">E1331-F1331</f>
        <v>596</v>
      </c>
      <c r="K1331" s="10" t="str">
        <f aca="false">IF(G1331&lt;0.2,"0-19%",IF(G1331&lt;0.4,"20-39%",IF(G1331&lt;0.6,"40-59%",IF(G1331&lt;0.8,"60-79%","80%+"))))</f>
        <v>0-19%</v>
      </c>
      <c r="L1331" s="10" t="str">
        <f aca="false">IF(H1331="","No rating",IF(H1331&lt;3.5,"Below 3.5",IF(H1331&lt;4,"3.5-3.9",IF(H1331&lt;4.5,"4.0-4.4","4.5+"))))</f>
        <v>4.0-4.4</v>
      </c>
    </row>
    <row r="1332" customFormat="false" ht="15" hidden="false" customHeight="false" outlineLevel="0" collapsed="false">
      <c r="A1332" s="10" t="s">
        <v>2699</v>
      </c>
      <c r="B1332" s="10" t="s">
        <v>2700</v>
      </c>
      <c r="C1332" s="10" t="s">
        <v>1181</v>
      </c>
      <c r="D1332" s="10" t="s">
        <v>1851</v>
      </c>
      <c r="E1332" s="11" t="n">
        <v>500</v>
      </c>
      <c r="F1332" s="11" t="n">
        <v>253</v>
      </c>
      <c r="G1332" s="12" t="n">
        <v>0.49</v>
      </c>
      <c r="H1332" s="13" t="n">
        <v>4.3</v>
      </c>
      <c r="I1332" s="11" t="n">
        <v>2664</v>
      </c>
      <c r="J1332" s="11" t="n">
        <f aca="false">E1332-F1332</f>
        <v>247</v>
      </c>
      <c r="K1332" s="10" t="str">
        <f aca="false">IF(G1332&lt;0.2,"0-19%",IF(G1332&lt;0.4,"20-39%",IF(G1332&lt;0.6,"40-59%",IF(G1332&lt;0.8,"60-79%","80%+"))))</f>
        <v>40-59%</v>
      </c>
      <c r="L1332" s="10" t="str">
        <f aca="false">IF(H1332="","No rating",IF(H1332&lt;3.5,"Below 3.5",IF(H1332&lt;4,"3.5-3.9",IF(H1332&lt;4.5,"4.0-4.4","4.5+"))))</f>
        <v>4.0-4.4</v>
      </c>
    </row>
    <row r="1333" customFormat="false" ht="15" hidden="false" customHeight="false" outlineLevel="0" collapsed="false">
      <c r="A1333" s="10" t="s">
        <v>2701</v>
      </c>
      <c r="B1333" s="10" t="s">
        <v>2702</v>
      </c>
      <c r="C1333" s="10" t="s">
        <v>1181</v>
      </c>
      <c r="D1333" s="10" t="s">
        <v>1854</v>
      </c>
      <c r="E1333" s="11" t="n">
        <v>799</v>
      </c>
      <c r="F1333" s="11" t="n">
        <v>499</v>
      </c>
      <c r="G1333" s="12" t="n">
        <v>0.38</v>
      </c>
      <c r="H1333" s="13" t="n">
        <v>3.6</v>
      </c>
      <c r="I1333" s="11" t="n">
        <v>212</v>
      </c>
      <c r="J1333" s="11" t="n">
        <f aca="false">E1333-F1333</f>
        <v>300</v>
      </c>
      <c r="K1333" s="10" t="str">
        <f aca="false">IF(G1333&lt;0.2,"0-19%",IF(G1333&lt;0.4,"20-39%",IF(G1333&lt;0.6,"40-59%",IF(G1333&lt;0.8,"60-79%","80%+"))))</f>
        <v>20-39%</v>
      </c>
      <c r="L1333" s="10" t="str">
        <f aca="false">IF(H1333="","No rating",IF(H1333&lt;3.5,"Below 3.5",IF(H1333&lt;4,"3.5-3.9",IF(H1333&lt;4.5,"4.0-4.4","4.5+"))))</f>
        <v>3.5-3.9</v>
      </c>
    </row>
    <row r="1334" customFormat="false" ht="15" hidden="false" customHeight="false" outlineLevel="0" collapsed="false">
      <c r="A1334" s="10" t="s">
        <v>2703</v>
      </c>
      <c r="B1334" s="10" t="s">
        <v>2704</v>
      </c>
      <c r="C1334" s="10" t="s">
        <v>1181</v>
      </c>
      <c r="D1334" s="10" t="s">
        <v>1854</v>
      </c>
      <c r="E1334" s="11" t="n">
        <v>1899</v>
      </c>
      <c r="F1334" s="11" t="n">
        <v>1149</v>
      </c>
      <c r="G1334" s="12" t="n">
        <v>0.39</v>
      </c>
      <c r="H1334" s="13" t="n">
        <v>3.5</v>
      </c>
      <c r="I1334" s="11" t="n">
        <v>24</v>
      </c>
      <c r="J1334" s="11" t="n">
        <f aca="false">E1334-F1334</f>
        <v>750</v>
      </c>
      <c r="K1334" s="10" t="str">
        <f aca="false">IF(G1334&lt;0.2,"0-19%",IF(G1334&lt;0.4,"20-39%",IF(G1334&lt;0.6,"40-59%",IF(G1334&lt;0.8,"60-79%","80%+"))))</f>
        <v>20-39%</v>
      </c>
      <c r="L1334" s="10" t="str">
        <f aca="false">IF(H1334="","No rating",IF(H1334&lt;3.5,"Below 3.5",IF(H1334&lt;4,"3.5-3.9",IF(H1334&lt;4.5,"4.0-4.4","4.5+"))))</f>
        <v>3.5-3.9</v>
      </c>
    </row>
    <row r="1335" customFormat="false" ht="15" hidden="false" customHeight="false" outlineLevel="0" collapsed="false">
      <c r="A1335" s="10" t="s">
        <v>2705</v>
      </c>
      <c r="B1335" s="10" t="s">
        <v>2706</v>
      </c>
      <c r="C1335" s="10" t="s">
        <v>1181</v>
      </c>
      <c r="D1335" s="10" t="s">
        <v>1851</v>
      </c>
      <c r="E1335" s="11" t="n">
        <v>799</v>
      </c>
      <c r="F1335" s="11" t="n">
        <v>457</v>
      </c>
      <c r="G1335" s="12" t="n">
        <v>0.43</v>
      </c>
      <c r="H1335" s="13" t="n">
        <v>4.3</v>
      </c>
      <c r="I1335" s="11" t="n">
        <v>1868</v>
      </c>
      <c r="J1335" s="11" t="n">
        <f aca="false">E1335-F1335</f>
        <v>342</v>
      </c>
      <c r="K1335" s="10" t="str">
        <f aca="false">IF(G1335&lt;0.2,"0-19%",IF(G1335&lt;0.4,"20-39%",IF(G1335&lt;0.6,"40-59%",IF(G1335&lt;0.8,"60-79%","80%+"))))</f>
        <v>40-59%</v>
      </c>
      <c r="L1335" s="10" t="str">
        <f aca="false">IF(H1335="","No rating",IF(H1335&lt;3.5,"Below 3.5",IF(H1335&lt;4,"3.5-3.9",IF(H1335&lt;4.5,"4.0-4.4","4.5+"))))</f>
        <v>4.0-4.4</v>
      </c>
    </row>
    <row r="1336" customFormat="false" ht="15" hidden="false" customHeight="false" outlineLevel="0" collapsed="false">
      <c r="A1336" s="10" t="s">
        <v>2707</v>
      </c>
      <c r="B1336" s="10" t="s">
        <v>2708</v>
      </c>
      <c r="C1336" s="10" t="s">
        <v>1181</v>
      </c>
      <c r="D1336" s="10" t="s">
        <v>1851</v>
      </c>
      <c r="E1336" s="11" t="n">
        <v>399</v>
      </c>
      <c r="F1336" s="11" t="n">
        <v>229</v>
      </c>
      <c r="G1336" s="12" t="n">
        <v>0.43</v>
      </c>
      <c r="H1336" s="13" t="n">
        <v>3.6</v>
      </c>
      <c r="I1336" s="11" t="n">
        <v>451</v>
      </c>
      <c r="J1336" s="11" t="n">
        <f aca="false">E1336-F1336</f>
        <v>170</v>
      </c>
      <c r="K1336" s="10" t="str">
        <f aca="false">IF(G1336&lt;0.2,"0-19%",IF(G1336&lt;0.4,"20-39%",IF(G1336&lt;0.6,"40-59%",IF(G1336&lt;0.8,"60-79%","80%+"))))</f>
        <v>40-59%</v>
      </c>
      <c r="L1336" s="10" t="str">
        <f aca="false">IF(H1336="","No rating",IF(H1336&lt;3.5,"Below 3.5",IF(H1336&lt;4,"3.5-3.9",IF(H1336&lt;4.5,"4.0-4.4","4.5+"))))</f>
        <v>3.5-3.9</v>
      </c>
    </row>
    <row r="1337" customFormat="false" ht="15" hidden="false" customHeight="false" outlineLevel="0" collapsed="false">
      <c r="A1337" s="10" t="s">
        <v>2709</v>
      </c>
      <c r="B1337" s="10" t="s">
        <v>2710</v>
      </c>
      <c r="C1337" s="10" t="s">
        <v>1181</v>
      </c>
      <c r="D1337" s="10" t="s">
        <v>1851</v>
      </c>
      <c r="E1337" s="11" t="n">
        <v>699</v>
      </c>
      <c r="F1337" s="11" t="n">
        <v>199</v>
      </c>
      <c r="G1337" s="12" t="n">
        <v>0.72</v>
      </c>
      <c r="H1337" s="13" t="n">
        <v>2.9</v>
      </c>
      <c r="I1337" s="11" t="n">
        <v>159</v>
      </c>
      <c r="J1337" s="11" t="n">
        <f aca="false">E1337-F1337</f>
        <v>500</v>
      </c>
      <c r="K1337" s="10" t="str">
        <f aca="false">IF(G1337&lt;0.2,"0-19%",IF(G1337&lt;0.4,"20-39%",IF(G1337&lt;0.6,"40-59%",IF(G1337&lt;0.8,"60-79%","80%+"))))</f>
        <v>60-79%</v>
      </c>
      <c r="L1337" s="10" t="str">
        <f aca="false">IF(H1337="","No rating",IF(H1337&lt;3.5,"Below 3.5",IF(H1337&lt;4,"3.5-3.9",IF(H1337&lt;4.5,"4.0-4.4","4.5+"))))</f>
        <v>Below 3.5</v>
      </c>
    </row>
    <row r="1338" customFormat="false" ht="15" hidden="false" customHeight="false" outlineLevel="0" collapsed="false">
      <c r="A1338" s="10" t="s">
        <v>2711</v>
      </c>
      <c r="B1338" s="10" t="s">
        <v>2712</v>
      </c>
      <c r="C1338" s="10" t="s">
        <v>1181</v>
      </c>
      <c r="D1338" s="10" t="s">
        <v>1851</v>
      </c>
      <c r="E1338" s="11" t="n">
        <v>1999</v>
      </c>
      <c r="F1338" s="11" t="n">
        <v>899</v>
      </c>
      <c r="G1338" s="12" t="n">
        <v>0.55</v>
      </c>
      <c r="H1338" s="13" t="n">
        <v>4.2</v>
      </c>
      <c r="I1338" s="11" t="n">
        <v>39</v>
      </c>
      <c r="J1338" s="11" t="n">
        <f aca="false">E1338-F1338</f>
        <v>1100</v>
      </c>
      <c r="K1338" s="10" t="str">
        <f aca="false">IF(G1338&lt;0.2,"0-19%",IF(G1338&lt;0.4,"20-39%",IF(G1338&lt;0.6,"40-59%",IF(G1338&lt;0.8,"60-79%","80%+"))))</f>
        <v>40-59%</v>
      </c>
      <c r="L1338" s="10" t="str">
        <f aca="false">IF(H1338="","No rating",IF(H1338&lt;3.5,"Below 3.5",IF(H1338&lt;4,"3.5-3.9",IF(H1338&lt;4.5,"4.0-4.4","4.5+"))))</f>
        <v>4.0-4.4</v>
      </c>
    </row>
    <row r="1339" customFormat="false" ht="15" hidden="false" customHeight="false" outlineLevel="0" collapsed="false">
      <c r="A1339" s="10" t="s">
        <v>2713</v>
      </c>
      <c r="B1339" s="10" t="s">
        <v>2714</v>
      </c>
      <c r="C1339" s="10" t="s">
        <v>1181</v>
      </c>
      <c r="D1339" s="10" t="s">
        <v>1851</v>
      </c>
      <c r="E1339" s="11" t="n">
        <v>2199</v>
      </c>
      <c r="F1339" s="11" t="n">
        <v>1499</v>
      </c>
      <c r="G1339" s="12" t="n">
        <v>0.32</v>
      </c>
      <c r="H1339" s="13" t="n">
        <v>4.4</v>
      </c>
      <c r="I1339" s="11" t="n">
        <v>6531</v>
      </c>
      <c r="J1339" s="11" t="n">
        <f aca="false">E1339-F1339</f>
        <v>700</v>
      </c>
      <c r="K1339" s="10" t="str">
        <f aca="false">IF(G1339&lt;0.2,"0-19%",IF(G1339&lt;0.4,"20-39%",IF(G1339&lt;0.6,"40-59%",IF(G1339&lt;0.8,"60-79%","80%+"))))</f>
        <v>20-39%</v>
      </c>
      <c r="L1339" s="10" t="str">
        <f aca="false">IF(H1339="","No rating",IF(H1339&lt;3.5,"Below 3.5",IF(H1339&lt;4,"3.5-3.9",IF(H1339&lt;4.5,"4.0-4.4","4.5+"))))</f>
        <v>4.0-4.4</v>
      </c>
    </row>
    <row r="1340" customFormat="false" ht="15" hidden="false" customHeight="false" outlineLevel="0" collapsed="false">
      <c r="A1340" s="10" t="s">
        <v>2715</v>
      </c>
      <c r="B1340" s="10" t="s">
        <v>2716</v>
      </c>
      <c r="C1340" s="10" t="s">
        <v>1181</v>
      </c>
      <c r="D1340" s="10" t="s">
        <v>1851</v>
      </c>
      <c r="E1340" s="11" t="n">
        <v>999</v>
      </c>
      <c r="F1340" s="11" t="n">
        <v>426</v>
      </c>
      <c r="G1340" s="12" t="n">
        <v>0.57</v>
      </c>
      <c r="H1340" s="13" t="n">
        <v>4.1</v>
      </c>
      <c r="I1340" s="11" t="n">
        <v>222</v>
      </c>
      <c r="J1340" s="11" t="n">
        <f aca="false">E1340-F1340</f>
        <v>573</v>
      </c>
      <c r="K1340" s="10" t="str">
        <f aca="false">IF(G1340&lt;0.2,"0-19%",IF(G1340&lt;0.4,"20-39%",IF(G1340&lt;0.6,"40-59%",IF(G1340&lt;0.8,"60-79%","80%+"))))</f>
        <v>40-59%</v>
      </c>
      <c r="L1340" s="10" t="str">
        <f aca="false">IF(H1340="","No rating",IF(H1340&lt;3.5,"Below 3.5",IF(H1340&lt;4,"3.5-3.9",IF(H1340&lt;4.5,"4.0-4.4","4.5+"))))</f>
        <v>4.0-4.4</v>
      </c>
    </row>
    <row r="1341" customFormat="false" ht="15" hidden="false" customHeight="false" outlineLevel="0" collapsed="false">
      <c r="A1341" s="10" t="s">
        <v>2717</v>
      </c>
      <c r="B1341" s="10" t="s">
        <v>2718</v>
      </c>
      <c r="C1341" s="10" t="s">
        <v>1181</v>
      </c>
      <c r="D1341" s="10" t="s">
        <v>1854</v>
      </c>
      <c r="E1341" s="11" t="n">
        <v>3290</v>
      </c>
      <c r="F1341" s="11" t="n">
        <v>2320</v>
      </c>
      <c r="G1341" s="12" t="n">
        <v>0.29</v>
      </c>
      <c r="H1341" s="13" t="n">
        <v>3.8</v>
      </c>
      <c r="I1341" s="11" t="n">
        <v>195</v>
      </c>
      <c r="J1341" s="11" t="n">
        <f aca="false">E1341-F1341</f>
        <v>970</v>
      </c>
      <c r="K1341" s="10" t="str">
        <f aca="false">IF(G1341&lt;0.2,"0-19%",IF(G1341&lt;0.4,"20-39%",IF(G1341&lt;0.6,"40-59%",IF(G1341&lt;0.8,"60-79%","80%+"))))</f>
        <v>20-39%</v>
      </c>
      <c r="L1341" s="10" t="str">
        <f aca="false">IF(H1341="","No rating",IF(H1341&lt;3.5,"Below 3.5",IF(H1341&lt;4,"3.5-3.9",IF(H1341&lt;4.5,"4.0-4.4","4.5+"))))</f>
        <v>3.5-3.9</v>
      </c>
    </row>
    <row r="1342" customFormat="false" ht="15" hidden="false" customHeight="false" outlineLevel="0" collapsed="false">
      <c r="A1342" s="10" t="s">
        <v>2719</v>
      </c>
      <c r="B1342" s="10" t="s">
        <v>2720</v>
      </c>
      <c r="C1342" s="10" t="s">
        <v>1181</v>
      </c>
      <c r="D1342" s="10" t="s">
        <v>1851</v>
      </c>
      <c r="E1342" s="11" t="n">
        <v>3098</v>
      </c>
      <c r="F1342" s="11" t="n">
        <v>1563</v>
      </c>
      <c r="G1342" s="12" t="n">
        <v>0.5</v>
      </c>
      <c r="H1342" s="13" t="n">
        <v>3.5</v>
      </c>
      <c r="I1342" s="11" t="n">
        <v>2283</v>
      </c>
      <c r="J1342" s="11" t="n">
        <f aca="false">E1342-F1342</f>
        <v>1535</v>
      </c>
      <c r="K1342" s="10" t="str">
        <f aca="false">IF(G1342&lt;0.2,"0-19%",IF(G1342&lt;0.4,"20-39%",IF(G1342&lt;0.6,"40-59%",IF(G1342&lt;0.8,"60-79%","80%+"))))</f>
        <v>40-59%</v>
      </c>
      <c r="L1342" s="10" t="str">
        <f aca="false">IF(H1342="","No rating",IF(H1342&lt;3.5,"Below 3.5",IF(H1342&lt;4,"3.5-3.9",IF(H1342&lt;4.5,"4.0-4.4","4.5+"))))</f>
        <v>3.5-3.9</v>
      </c>
    </row>
    <row r="1343" customFormat="false" ht="15" hidden="false" customHeight="false" outlineLevel="0" collapsed="false">
      <c r="A1343" s="10" t="s">
        <v>2721</v>
      </c>
      <c r="B1343" s="10" t="s">
        <v>2722</v>
      </c>
      <c r="C1343" s="10" t="s">
        <v>1181</v>
      </c>
      <c r="D1343" s="10" t="s">
        <v>1854</v>
      </c>
      <c r="E1343" s="11" t="n">
        <v>4990</v>
      </c>
      <c r="F1343" s="11" t="n">
        <v>3487.77</v>
      </c>
      <c r="G1343" s="12" t="n">
        <v>0.3</v>
      </c>
      <c r="H1343" s="13" t="n">
        <v>4.1</v>
      </c>
      <c r="I1343" s="11" t="n">
        <v>1127</v>
      </c>
      <c r="J1343" s="11" t="n">
        <f aca="false">E1343-F1343</f>
        <v>1502.23</v>
      </c>
      <c r="K1343" s="10" t="str">
        <f aca="false">IF(G1343&lt;0.2,"0-19%",IF(G1343&lt;0.4,"20-39%",IF(G1343&lt;0.6,"40-59%",IF(G1343&lt;0.8,"60-79%","80%+"))))</f>
        <v>20-39%</v>
      </c>
      <c r="L1343" s="10" t="str">
        <f aca="false">IF(H1343="","No rating",IF(H1343&lt;3.5,"Below 3.5",IF(H1343&lt;4,"3.5-3.9",IF(H1343&lt;4.5,"4.0-4.4","4.5+"))))</f>
        <v>4.0-4.4</v>
      </c>
    </row>
    <row r="1344" customFormat="false" ht="15" hidden="false" customHeight="false" outlineLevel="0" collapsed="false">
      <c r="A1344" s="10" t="s">
        <v>2723</v>
      </c>
      <c r="B1344" s="10" t="s">
        <v>2724</v>
      </c>
      <c r="C1344" s="10" t="s">
        <v>1181</v>
      </c>
      <c r="D1344" s="10" t="s">
        <v>1851</v>
      </c>
      <c r="E1344" s="11" t="n">
        <v>1200</v>
      </c>
      <c r="F1344" s="11" t="n">
        <v>498</v>
      </c>
      <c r="G1344" s="12" t="n">
        <v>0.59</v>
      </c>
      <c r="H1344" s="13" t="n">
        <v>3.2</v>
      </c>
      <c r="I1344" s="11" t="n">
        <v>113</v>
      </c>
      <c r="J1344" s="11" t="n">
        <f aca="false">E1344-F1344</f>
        <v>702</v>
      </c>
      <c r="K1344" s="10" t="str">
        <f aca="false">IF(G1344&lt;0.2,"0-19%",IF(G1344&lt;0.4,"20-39%",IF(G1344&lt;0.6,"40-59%",IF(G1344&lt;0.8,"60-79%","80%+"))))</f>
        <v>40-59%</v>
      </c>
      <c r="L1344" s="10" t="str">
        <f aca="false">IF(H1344="","No rating",IF(H1344&lt;3.5,"Below 3.5",IF(H1344&lt;4,"3.5-3.9",IF(H1344&lt;4.5,"4.0-4.4","4.5+"))))</f>
        <v>Below 3.5</v>
      </c>
    </row>
    <row r="1345" customFormat="false" ht="15" hidden="false" customHeight="false" outlineLevel="0" collapsed="false">
      <c r="A1345" s="10" t="s">
        <v>2725</v>
      </c>
      <c r="B1345" s="10" t="s">
        <v>2726</v>
      </c>
      <c r="C1345" s="10" t="s">
        <v>1181</v>
      </c>
      <c r="D1345" s="10" t="s">
        <v>1851</v>
      </c>
      <c r="E1345" s="11" t="n">
        <v>2695</v>
      </c>
      <c r="F1345" s="11" t="n">
        <v>2695</v>
      </c>
      <c r="G1345" s="12" t="n">
        <v>0</v>
      </c>
      <c r="H1345" s="13" t="n">
        <v>4.4</v>
      </c>
      <c r="I1345" s="11" t="n">
        <v>2518</v>
      </c>
      <c r="J1345" s="11" t="n">
        <f aca="false">E1345-F1345</f>
        <v>0</v>
      </c>
      <c r="K1345" s="10" t="str">
        <f aca="false">IF(G1345&lt;0.2,"0-19%",IF(G1345&lt;0.4,"20-39%",IF(G1345&lt;0.6,"40-59%",IF(G1345&lt;0.8,"60-79%","80%+"))))</f>
        <v>0-19%</v>
      </c>
      <c r="L1345" s="10" t="str">
        <f aca="false">IF(H1345="","No rating",IF(H1345&lt;3.5,"Below 3.5",IF(H1345&lt;4,"3.5-3.9",IF(H1345&lt;4.5,"4.0-4.4","4.5+"))))</f>
        <v>4.0-4.4</v>
      </c>
    </row>
    <row r="1346" customFormat="false" ht="15" hidden="false" customHeight="false" outlineLevel="0" collapsed="false">
      <c r="A1346" s="10" t="s">
        <v>2727</v>
      </c>
      <c r="B1346" s="10" t="s">
        <v>2728</v>
      </c>
      <c r="C1346" s="10" t="s">
        <v>1181</v>
      </c>
      <c r="D1346" s="10" t="s">
        <v>1854</v>
      </c>
      <c r="E1346" s="11" t="n">
        <v>2299</v>
      </c>
      <c r="F1346" s="11" t="n">
        <v>949</v>
      </c>
      <c r="G1346" s="12" t="n">
        <v>0.59</v>
      </c>
      <c r="H1346" s="13" t="n">
        <v>3.6</v>
      </c>
      <c r="I1346" s="11" t="n">
        <v>550</v>
      </c>
      <c r="J1346" s="11" t="n">
        <f aca="false">E1346-F1346</f>
        <v>1350</v>
      </c>
      <c r="K1346" s="10" t="str">
        <f aca="false">IF(G1346&lt;0.2,"0-19%",IF(G1346&lt;0.4,"20-39%",IF(G1346&lt;0.6,"40-59%",IF(G1346&lt;0.8,"60-79%","80%+"))))</f>
        <v>40-59%</v>
      </c>
      <c r="L1346" s="10" t="str">
        <f aca="false">IF(H1346="","No rating",IF(H1346&lt;3.5,"Below 3.5",IF(H1346&lt;4,"3.5-3.9",IF(H1346&lt;4.5,"4.0-4.4","4.5+"))))</f>
        <v>3.5-3.9</v>
      </c>
    </row>
    <row r="1347" customFormat="false" ht="15" hidden="false" customHeight="false" outlineLevel="0" collapsed="false">
      <c r="A1347" s="10" t="s">
        <v>2729</v>
      </c>
      <c r="B1347" s="10" t="s">
        <v>2730</v>
      </c>
      <c r="C1347" s="10" t="s">
        <v>1181</v>
      </c>
      <c r="D1347" s="10" t="s">
        <v>1851</v>
      </c>
      <c r="E1347" s="11" t="n">
        <v>999</v>
      </c>
      <c r="F1347" s="11" t="n">
        <v>199</v>
      </c>
      <c r="G1347" s="12" t="n">
        <v>0.8</v>
      </c>
      <c r="H1347" s="13" t="n">
        <v>3.1</v>
      </c>
      <c r="I1347" s="11" t="n">
        <v>2</v>
      </c>
      <c r="J1347" s="11" t="n">
        <f aca="false">E1347-F1347</f>
        <v>800</v>
      </c>
      <c r="K1347" s="10" t="str">
        <f aca="false">IF(G1347&lt;0.2,"0-19%",IF(G1347&lt;0.4,"20-39%",IF(G1347&lt;0.6,"40-59%",IF(G1347&lt;0.8,"60-79%","80%+"))))</f>
        <v>80%+</v>
      </c>
      <c r="L1347" s="10" t="str">
        <f aca="false">IF(H1347="","No rating",IF(H1347&lt;3.5,"Below 3.5",IF(H1347&lt;4,"3.5-3.9",IF(H1347&lt;4.5,"4.0-4.4","4.5+"))))</f>
        <v>Below 3.5</v>
      </c>
    </row>
    <row r="1348" customFormat="false" ht="15" hidden="false" customHeight="false" outlineLevel="0" collapsed="false">
      <c r="A1348" s="10" t="s">
        <v>2731</v>
      </c>
      <c r="B1348" s="10" t="s">
        <v>2732</v>
      </c>
      <c r="C1348" s="10" t="s">
        <v>1181</v>
      </c>
      <c r="D1348" s="10" t="s">
        <v>1851</v>
      </c>
      <c r="E1348" s="11" t="n">
        <v>919</v>
      </c>
      <c r="F1348" s="11" t="n">
        <v>379</v>
      </c>
      <c r="G1348" s="12" t="n">
        <v>0.59</v>
      </c>
      <c r="H1348" s="13" t="n">
        <v>4</v>
      </c>
      <c r="I1348" s="11" t="n">
        <v>1090</v>
      </c>
      <c r="J1348" s="11" t="n">
        <f aca="false">E1348-F1348</f>
        <v>540</v>
      </c>
      <c r="K1348" s="10" t="str">
        <f aca="false">IF(G1348&lt;0.2,"0-19%",IF(G1348&lt;0.4,"20-39%",IF(G1348&lt;0.6,"40-59%",IF(G1348&lt;0.8,"60-79%","80%+"))))</f>
        <v>40-59%</v>
      </c>
      <c r="L1348" s="10" t="str">
        <f aca="false">IF(H1348="","No rating",IF(H1348&lt;3.5,"Below 3.5",IF(H1348&lt;4,"3.5-3.9",IF(H1348&lt;4.5,"4.0-4.4","4.5+"))))</f>
        <v>4.0-4.4</v>
      </c>
    </row>
    <row r="1349" customFormat="false" ht="15" hidden="false" customHeight="false" outlineLevel="0" collapsed="false">
      <c r="A1349" s="10" t="s">
        <v>2733</v>
      </c>
      <c r="B1349" s="10" t="s">
        <v>2734</v>
      </c>
      <c r="C1349" s="10" t="s">
        <v>1181</v>
      </c>
      <c r="D1349" s="10" t="s">
        <v>1851</v>
      </c>
      <c r="E1349" s="11" t="n">
        <v>3045</v>
      </c>
      <c r="F1349" s="11" t="n">
        <v>2280</v>
      </c>
      <c r="G1349" s="12" t="n">
        <v>0.25</v>
      </c>
      <c r="H1349" s="13" t="n">
        <v>4.1</v>
      </c>
      <c r="I1349" s="11" t="n">
        <v>4118</v>
      </c>
      <c r="J1349" s="11" t="n">
        <f aca="false">E1349-F1349</f>
        <v>765</v>
      </c>
      <c r="K1349" s="10" t="str">
        <f aca="false">IF(G1349&lt;0.2,"0-19%",IF(G1349&lt;0.4,"20-39%",IF(G1349&lt;0.6,"40-59%",IF(G1349&lt;0.8,"60-79%","80%+"))))</f>
        <v>20-39%</v>
      </c>
      <c r="L1349" s="10" t="str">
        <f aca="false">IF(H1349="","No rating",IF(H1349&lt;3.5,"Below 3.5",IF(H1349&lt;4,"3.5-3.9",IF(H1349&lt;4.5,"4.0-4.4","4.5+"))))</f>
        <v>4.0-4.4</v>
      </c>
    </row>
    <row r="1350" customFormat="false" ht="15" hidden="false" customHeight="false" outlineLevel="0" collapsed="false">
      <c r="A1350" s="10" t="s">
        <v>2735</v>
      </c>
      <c r="B1350" s="10" t="s">
        <v>2736</v>
      </c>
      <c r="C1350" s="10" t="s">
        <v>1181</v>
      </c>
      <c r="D1350" s="10" t="s">
        <v>1854</v>
      </c>
      <c r="E1350" s="11" t="n">
        <v>3080</v>
      </c>
      <c r="F1350" s="11" t="n">
        <v>2219</v>
      </c>
      <c r="G1350" s="12" t="n">
        <v>0.28</v>
      </c>
      <c r="H1350" s="13" t="n">
        <v>3.6</v>
      </c>
      <c r="I1350" s="11" t="n">
        <v>468</v>
      </c>
      <c r="J1350" s="11" t="n">
        <f aca="false">E1350-F1350</f>
        <v>861</v>
      </c>
      <c r="K1350" s="10" t="str">
        <f aca="false">IF(G1350&lt;0.2,"0-19%",IF(G1350&lt;0.4,"20-39%",IF(G1350&lt;0.6,"40-59%",IF(G1350&lt;0.8,"60-79%","80%+"))))</f>
        <v>20-39%</v>
      </c>
      <c r="L1350" s="10" t="str">
        <f aca="false">IF(H1350="","No rating",IF(H1350&lt;3.5,"Below 3.5",IF(H1350&lt;4,"3.5-3.9",IF(H1350&lt;4.5,"4.0-4.4","4.5+"))))</f>
        <v>3.5-3.9</v>
      </c>
    </row>
    <row r="1351" customFormat="false" ht="15" hidden="false" customHeight="false" outlineLevel="0" collapsed="false">
      <c r="A1351" s="10" t="s">
        <v>2737</v>
      </c>
      <c r="B1351" s="10" t="s">
        <v>2738</v>
      </c>
      <c r="C1351" s="10" t="s">
        <v>1181</v>
      </c>
      <c r="D1351" s="10" t="s">
        <v>1854</v>
      </c>
      <c r="E1351" s="11" t="n">
        <v>1890</v>
      </c>
      <c r="F1351" s="11" t="n">
        <v>1399</v>
      </c>
      <c r="G1351" s="12" t="n">
        <v>0.26</v>
      </c>
      <c r="H1351" s="13" t="n">
        <v>4</v>
      </c>
      <c r="I1351" s="11" t="n">
        <v>8031</v>
      </c>
      <c r="J1351" s="11" t="n">
        <f aca="false">E1351-F1351</f>
        <v>491</v>
      </c>
      <c r="K1351" s="10" t="str">
        <f aca="false">IF(G1351&lt;0.2,"0-19%",IF(G1351&lt;0.4,"20-39%",IF(G1351&lt;0.6,"40-59%",IF(G1351&lt;0.8,"60-79%","80%+"))))</f>
        <v>20-39%</v>
      </c>
      <c r="L1351" s="10" t="str">
        <f aca="false">IF(H1351="","No rating",IF(H1351&lt;3.5,"Below 3.5",IF(H1351&lt;4,"3.5-3.9",IF(H1351&lt;4.5,"4.0-4.4","4.5+"))))</f>
        <v>4.0-4.4</v>
      </c>
    </row>
    <row r="1352" customFormat="false" ht="15" hidden="false" customHeight="false" outlineLevel="0" collapsed="false">
      <c r="A1352" s="10" t="s">
        <v>2739</v>
      </c>
      <c r="B1352" s="10" t="s">
        <v>2740</v>
      </c>
      <c r="C1352" s="10" t="s">
        <v>1181</v>
      </c>
      <c r="D1352" s="10" t="s">
        <v>1851</v>
      </c>
      <c r="E1352" s="11" t="n">
        <v>3690</v>
      </c>
      <c r="F1352" s="11" t="n">
        <v>2863</v>
      </c>
      <c r="G1352" s="12" t="n">
        <v>0.22</v>
      </c>
      <c r="H1352" s="13" t="n">
        <v>4.3</v>
      </c>
      <c r="I1352" s="11" t="n">
        <v>6987</v>
      </c>
      <c r="J1352" s="11" t="n">
        <f aca="false">E1352-F1352</f>
        <v>827</v>
      </c>
      <c r="K1352" s="10" t="str">
        <f aca="false">IF(G1352&lt;0.2,"0-19%",IF(G1352&lt;0.4,"20-39%",IF(G1352&lt;0.6,"40-59%",IF(G1352&lt;0.8,"60-79%","80%+"))))</f>
        <v>20-39%</v>
      </c>
      <c r="L1352" s="10" t="str">
        <f aca="false">IF(H1352="","No rating",IF(H1352&lt;3.5,"Below 3.5",IF(H1352&lt;4,"3.5-3.9",IF(H1352&lt;4.5,"4.0-4.4","4.5+"))))</f>
        <v>4.0-4.4</v>
      </c>
    </row>
  </sheetData>
  <autoFilter ref="A1:L135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8"/>
    <col collapsed="false" customWidth="true" hidden="false" outlineLevel="0" max="3" min="3" style="0" width="16"/>
    <col collapsed="false" customWidth="true" hidden="false" outlineLevel="0" max="5" min="4" style="0" width="14"/>
  </cols>
  <sheetData>
    <row r="1" customFormat="false" ht="15" hidden="false" customHeight="false" outlineLevel="0" collapsed="false">
      <c r="A1" s="14" t="s">
        <v>2741</v>
      </c>
    </row>
    <row r="2" customFormat="false" ht="26.85" hidden="false" customHeight="false" outlineLevel="0" collapsed="false">
      <c r="A2" s="15" t="s">
        <v>9</v>
      </c>
      <c r="B2" s="15" t="s">
        <v>2742</v>
      </c>
      <c r="C2" s="15" t="s">
        <v>2743</v>
      </c>
      <c r="D2" s="15" t="s">
        <v>3</v>
      </c>
      <c r="E2" s="15" t="s">
        <v>5</v>
      </c>
    </row>
    <row r="3" customFormat="false" ht="15" hidden="false" customHeight="false" outlineLevel="0" collapsed="false">
      <c r="A3" s="10" t="s">
        <v>48</v>
      </c>
      <c r="B3" s="10" t="n">
        <f aca="false">COUNTIFS(Data!$C$2:$C$1352,A3)</f>
        <v>490</v>
      </c>
      <c r="C3" s="16" t="n">
        <f aca="false">AVERAGEIFS(Data!$G$2:$G$1352,Data!$C$2:$C$1352,A3)</f>
        <v>0.499061224489796</v>
      </c>
      <c r="D3" s="17" t="n">
        <f aca="false">AVERAGEIFS(Data!$H$2:$H$1352,Data!$C$2:$C$1352,A3)</f>
        <v>4.07775510204082</v>
      </c>
      <c r="E3" s="12" t="n">
        <f aca="false">COUNTIFS(Data!$C$2:$C$1352,A3,Data!$H$2:$H$1352,"&gt;=4")/COUNTIFS(Data!$C$2:$C$1352,A3,Data!$H$2:$H$1352,"&gt;0")</f>
        <v>0.738775510204082</v>
      </c>
    </row>
    <row r="4" customFormat="false" ht="15" hidden="false" customHeight="false" outlineLevel="0" collapsed="false">
      <c r="A4" s="10" t="s">
        <v>1181</v>
      </c>
      <c r="B4" s="10" t="n">
        <f aca="false">COUNTIFS(Data!$C$2:$C$1352,A4)</f>
        <v>448</v>
      </c>
      <c r="C4" s="16" t="n">
        <f aca="false">AVERAGEIFS(Data!$G$2:$G$1352,Data!$C$2:$C$1352,A4)</f>
        <v>0.401205357142857</v>
      </c>
      <c r="D4" s="17" t="n">
        <f aca="false">AVERAGEIFS(Data!$H$2:$H$1352,Data!$C$2:$C$1352,A4)</f>
        <v>4.0407158836689</v>
      </c>
      <c r="E4" s="12" t="n">
        <f aca="false">COUNTIFS(Data!$C$2:$C$1352,A4,Data!$H$2:$H$1352,"&gt;=4")/COUNTIFS(Data!$C$2:$C$1352,A4,Data!$H$2:$H$1352,"&gt;0")</f>
        <v>0.677852348993289</v>
      </c>
    </row>
    <row r="5" customFormat="false" ht="15" hidden="false" customHeight="false" outlineLevel="0" collapsed="false">
      <c r="A5" s="10" t="s">
        <v>21</v>
      </c>
      <c r="B5" s="10" t="n">
        <f aca="false">COUNTIFS(Data!$C$2:$C$1352,A5)</f>
        <v>375</v>
      </c>
      <c r="C5" s="16" t="n">
        <f aca="false">AVERAGEIFS(Data!$G$2:$G$1352,Data!$C$2:$C$1352,A5)</f>
        <v>0.53224</v>
      </c>
      <c r="D5" s="17" t="n">
        <f aca="false">AVERAGEIFS(Data!$H$2:$H$1352,Data!$C$2:$C$1352,A5)</f>
        <v>4.15386666666667</v>
      </c>
      <c r="E5" s="12" t="n">
        <f aca="false">COUNTIFS(Data!$C$2:$C$1352,A5,Data!$H$2:$H$1352,"&gt;=4")/COUNTIFS(Data!$C$2:$C$1352,A5,Data!$H$2:$H$1352,"&gt;0")</f>
        <v>0.824</v>
      </c>
    </row>
    <row r="6" customFormat="false" ht="15" hidden="false" customHeight="false" outlineLevel="0" collapsed="false">
      <c r="A6" s="10" t="s">
        <v>1177</v>
      </c>
      <c r="B6" s="10" t="n">
        <f aca="false">COUNTIFS(Data!$C$2:$C$1352,A6)</f>
        <v>31</v>
      </c>
      <c r="C6" s="16" t="n">
        <f aca="false">AVERAGEIFS(Data!$G$2:$G$1352,Data!$C$2:$C$1352,A6)</f>
        <v>0.123548387096774</v>
      </c>
      <c r="D6" s="17" t="n">
        <f aca="false">AVERAGEIFS(Data!$H$2:$H$1352,Data!$C$2:$C$1352,A6)</f>
        <v>4.30967741935484</v>
      </c>
      <c r="E6" s="12" t="n">
        <f aca="false">COUNTIFS(Data!$C$2:$C$1352,A6,Data!$H$2:$H$1352,"&gt;=4")/COUNTIFS(Data!$C$2:$C$1352,A6,Data!$H$2:$H$1352,"&gt;0")</f>
        <v>1</v>
      </c>
    </row>
    <row r="7" customFormat="false" ht="15" hidden="false" customHeight="false" outlineLevel="0" collapsed="false">
      <c r="A7" s="10" t="s">
        <v>1170</v>
      </c>
      <c r="B7" s="10" t="n">
        <f aca="false">COUNTIFS(Data!$C$2:$C$1352,A7)</f>
        <v>7</v>
      </c>
      <c r="C7" s="16" t="n">
        <f aca="false">AVERAGEIFS(Data!$G$2:$G$1352,Data!$C$2:$C$1352,A7)</f>
        <v>0.431428571428571</v>
      </c>
      <c r="D7" s="17" t="n">
        <f aca="false">AVERAGEIFS(Data!$H$2:$H$1352,Data!$C$2:$C$1352,A7)</f>
        <v>4.05714285714286</v>
      </c>
      <c r="E7" s="12" t="n">
        <f aca="false">COUNTIFS(Data!$C$2:$C$1352,A7,Data!$H$2:$H$1352,"&gt;=4")/COUNTIFS(Data!$C$2:$C$1352,A7,Data!$H$2:$H$1352,"&gt;0")</f>
        <v>0.714285714285714</v>
      </c>
    </row>
    <row r="10" customFormat="false" ht="15" hidden="false" customHeight="false" outlineLevel="0" collapsed="false">
      <c r="A10" s="14" t="s">
        <v>2744</v>
      </c>
    </row>
    <row r="11" customFormat="false" ht="26.85" hidden="false" customHeight="false" outlineLevel="0" collapsed="false">
      <c r="A11" s="15" t="s">
        <v>10</v>
      </c>
      <c r="B11" s="15" t="s">
        <v>2742</v>
      </c>
      <c r="C11" s="15" t="s">
        <v>2743</v>
      </c>
      <c r="D11" s="15" t="s">
        <v>3</v>
      </c>
    </row>
    <row r="12" customFormat="false" ht="15" hidden="false" customHeight="false" outlineLevel="0" collapsed="false">
      <c r="A12" s="10" t="s">
        <v>1851</v>
      </c>
      <c r="B12" s="10" t="n">
        <f aca="false">COUNTIFS(Data!$D$2:$D$1352,A12)</f>
        <v>308</v>
      </c>
      <c r="C12" s="16" t="n">
        <f aca="false">AVERAGEIFS(Data!$G$2:$G$1352,Data!$D$2:$D$1352,A12)</f>
        <v>0.402564935064935</v>
      </c>
      <c r="D12" s="17" t="n">
        <f aca="false">AVERAGEIFS(Data!$H$2:$H$1352,Data!$D$2:$D$1352,A12)</f>
        <v>4.05342019543974</v>
      </c>
    </row>
    <row r="13" customFormat="false" ht="15" hidden="false" customHeight="false" outlineLevel="0" collapsed="false">
      <c r="A13" s="10" t="s">
        <v>22</v>
      </c>
      <c r="B13" s="10" t="n">
        <f aca="false">COUNTIFS(Data!$D$2:$D$1352,A13)</f>
        <v>307</v>
      </c>
      <c r="C13" s="16" t="n">
        <f aca="false">AVERAGEIFS(Data!$G$2:$G$1352,Data!$D$2:$D$1352,A13)</f>
        <v>0.55442996742671</v>
      </c>
      <c r="D13" s="17" t="n">
        <f aca="false">AVERAGEIFS(Data!$H$2:$H$1352,Data!$D$2:$D$1352,A13)</f>
        <v>4.14495114006515</v>
      </c>
    </row>
    <row r="14" customFormat="false" ht="15" hidden="false" customHeight="false" outlineLevel="0" collapsed="false">
      <c r="A14" s="10" t="s">
        <v>49</v>
      </c>
      <c r="B14" s="10" t="n">
        <f aca="false">COUNTIFS(Data!$D$2:$D$1352,A14)</f>
        <v>156</v>
      </c>
      <c r="C14" s="16" t="n">
        <f aca="false">AVERAGEIFS(Data!$G$2:$G$1352,Data!$D$2:$D$1352,A14)</f>
        <v>0.493910256410256</v>
      </c>
      <c r="D14" s="17" t="n">
        <f aca="false">AVERAGEIFS(Data!$H$2:$H$1352,Data!$D$2:$D$1352,A14)</f>
        <v>4.07115384615385</v>
      </c>
    </row>
    <row r="15" customFormat="false" ht="15" hidden="false" customHeight="false" outlineLevel="0" collapsed="false">
      <c r="A15" s="10" t="s">
        <v>700</v>
      </c>
      <c r="B15" s="10" t="n">
        <f aca="false">COUNTIFS(Data!$D$2:$D$1352,A15)</f>
        <v>151</v>
      </c>
      <c r="C15" s="16" t="n">
        <f aca="false">AVERAGEIFS(Data!$G$2:$G$1352,Data!$D$2:$D$1352,A15)</f>
        <v>0.414701986754967</v>
      </c>
      <c r="D15" s="17" t="n">
        <f aca="false">AVERAGEIFS(Data!$H$2:$H$1352,Data!$D$2:$D$1352,A15)</f>
        <v>4.12582781456954</v>
      </c>
    </row>
    <row r="16" customFormat="false" ht="15" hidden="false" customHeight="false" outlineLevel="0" collapsed="false">
      <c r="A16" s="10" t="s">
        <v>1854</v>
      </c>
      <c r="B16" s="10" t="n">
        <f aca="false">COUNTIFS(Data!$D$2:$D$1352,A16)</f>
        <v>116</v>
      </c>
      <c r="C16" s="16" t="n">
        <f aca="false">AVERAGEIFS(Data!$G$2:$G$1352,Data!$D$2:$D$1352,A16)</f>
        <v>0.406810344827586</v>
      </c>
      <c r="D16" s="17" t="n">
        <f aca="false">AVERAGEIFS(Data!$H$2:$H$1352,Data!$D$2:$D$1352,A16)</f>
        <v>3.99051724137931</v>
      </c>
    </row>
    <row r="17" customFormat="false" ht="15" hidden="false" customHeight="false" outlineLevel="0" collapsed="false">
      <c r="A17" s="10" t="s">
        <v>722</v>
      </c>
      <c r="B17" s="10" t="n">
        <f aca="false">COUNTIFS(Data!$D$2:$D$1352,A17)</f>
        <v>63</v>
      </c>
      <c r="C17" s="16" t="n">
        <f aca="false">AVERAGEIFS(Data!$G$2:$G$1352,Data!$D$2:$D$1352,A17)</f>
        <v>0.594920634920635</v>
      </c>
      <c r="D17" s="17" t="n">
        <f aca="false">AVERAGEIFS(Data!$H$2:$H$1352,Data!$D$2:$D$1352,A17)</f>
        <v>3.92063492063492</v>
      </c>
    </row>
    <row r="18" customFormat="false" ht="15" hidden="false" customHeight="false" outlineLevel="0" collapsed="false">
      <c r="A18" s="10" t="s">
        <v>693</v>
      </c>
      <c r="B18" s="10" t="n">
        <f aca="false">COUNTIFS(Data!$D$2:$D$1352,A18)</f>
        <v>62</v>
      </c>
      <c r="C18" s="16" t="n">
        <f aca="false">AVERAGEIFS(Data!$G$2:$G$1352,Data!$D$2:$D$1352,A18)</f>
        <v>0.696774193548387</v>
      </c>
      <c r="D18" s="17" t="n">
        <f aca="false">AVERAGEIFS(Data!$H$2:$H$1352,Data!$D$2:$D$1352,A18)</f>
        <v>4.00806451612903</v>
      </c>
    </row>
    <row r="19" customFormat="false" ht="15" hidden="false" customHeight="false" outlineLevel="0" collapsed="false">
      <c r="A19" s="10" t="s">
        <v>39</v>
      </c>
      <c r="B19" s="10" t="n">
        <f aca="false">COUNTIFS(Data!$D$2:$D$1352,A19)</f>
        <v>30</v>
      </c>
      <c r="C19" s="16" t="n">
        <f aca="false">AVERAGEIFS(Data!$G$2:$G$1352,Data!$D$2:$D$1352,A19)</f>
        <v>0.472</v>
      </c>
      <c r="D19" s="17" t="n">
        <f aca="false">AVERAGEIFS(Data!$H$2:$H$1352,Data!$D$2:$D$1352,A19)</f>
        <v>4.16333333333333</v>
      </c>
    </row>
    <row r="20" customFormat="false" ht="15" hidden="false" customHeight="false" outlineLevel="0" collapsed="false">
      <c r="A20" s="10" t="s">
        <v>1178</v>
      </c>
      <c r="B20" s="10" t="n">
        <f aca="false">COUNTIFS(Data!$D$2:$D$1352,A20)</f>
        <v>27</v>
      </c>
      <c r="C20" s="16" t="n">
        <f aca="false">AVERAGEIFS(Data!$G$2:$G$1352,Data!$D$2:$D$1352,A20)</f>
        <v>0.14</v>
      </c>
      <c r="D20" s="17" t="n">
        <f aca="false">AVERAGEIFS(Data!$H$2:$H$1352,Data!$D$2:$D$1352,A20)</f>
        <v>4.28888888888889</v>
      </c>
    </row>
    <row r="21" customFormat="false" ht="15" hidden="false" customHeight="false" outlineLevel="0" collapsed="false">
      <c r="A21" s="10" t="s">
        <v>1135</v>
      </c>
      <c r="B21" s="10" t="n">
        <f aca="false">COUNTIFS(Data!$D$2:$D$1352,A21)</f>
        <v>18</v>
      </c>
      <c r="C21" s="16" t="n">
        <f aca="false">AVERAGEIFS(Data!$G$2:$G$1352,Data!$D$2:$D$1352,A21)</f>
        <v>0.468888888888889</v>
      </c>
      <c r="D21" s="17" t="n">
        <f aca="false">AVERAGEIFS(Data!$H$2:$H$1352,Data!$D$2:$D$1352,A21)</f>
        <v>4.31666666666667</v>
      </c>
    </row>
    <row r="24" customFormat="false" ht="15" hidden="false" customHeight="false" outlineLevel="0" collapsed="false">
      <c r="A24" s="14" t="s">
        <v>2745</v>
      </c>
    </row>
    <row r="25" customFormat="false" ht="39.55" hidden="false" customHeight="false" outlineLevel="0" collapsed="false">
      <c r="A25" s="15" t="s">
        <v>17</v>
      </c>
      <c r="B25" s="15" t="s">
        <v>2742</v>
      </c>
      <c r="C25" s="15" t="s">
        <v>3</v>
      </c>
      <c r="D25" s="15" t="s">
        <v>2746</v>
      </c>
    </row>
    <row r="26" customFormat="false" ht="15" hidden="false" customHeight="false" outlineLevel="0" collapsed="false">
      <c r="A26" s="10" t="s">
        <v>2747</v>
      </c>
      <c r="B26" s="10" t="n">
        <f aca="false">COUNTIFS(Data!$K$2:$K$1352,A26)</f>
        <v>162</v>
      </c>
      <c r="C26" s="17" t="n">
        <f aca="false">AVERAGEIFS(Data!$H$2:$H$1352,Data!$K$2:$K$1352,A26)</f>
        <v>4.1639751552795</v>
      </c>
      <c r="D26" s="11" t="n">
        <f aca="false">AVERAGEIFS(Data!$F$2:$F$1352,Data!$K$2:$K$1352,A26)</f>
        <v>3978.68518518519</v>
      </c>
    </row>
    <row r="27" customFormat="false" ht="15" hidden="false" customHeight="false" outlineLevel="0" collapsed="false">
      <c r="A27" s="10" t="s">
        <v>2748</v>
      </c>
      <c r="B27" s="10" t="n">
        <f aca="false">COUNTIFS(Data!$K$2:$K$1352,A27)</f>
        <v>316</v>
      </c>
      <c r="C27" s="17" t="n">
        <f aca="false">AVERAGEIFS(Data!$H$2:$H$1352,Data!$K$2:$K$1352,A27)</f>
        <v>4.13386075949367</v>
      </c>
      <c r="D27" s="11" t="n">
        <f aca="false">AVERAGEIFS(Data!$F$2:$F$1352,Data!$K$2:$K$1352,A27)</f>
        <v>6629.17382911392</v>
      </c>
    </row>
    <row r="28" customFormat="false" ht="15" hidden="false" customHeight="false" outlineLevel="0" collapsed="false">
      <c r="A28" s="10" t="s">
        <v>2749</v>
      </c>
      <c r="B28" s="10" t="n">
        <f aca="false">COUNTIFS(Data!$K$2:$K$1352,A28)</f>
        <v>449</v>
      </c>
      <c r="C28" s="17" t="n">
        <f aca="false">AVERAGEIFS(Data!$H$2:$H$1352,Data!$K$2:$K$1352,A28)</f>
        <v>4.0815144766147</v>
      </c>
      <c r="D28" s="11" t="n">
        <f aca="false">AVERAGEIFS(Data!$F$2:$F$1352,Data!$K$2:$K$1352,A28)</f>
        <v>2976.68665924276</v>
      </c>
    </row>
    <row r="29" customFormat="false" ht="15" hidden="false" customHeight="false" outlineLevel="0" collapsed="false">
      <c r="A29" s="10" t="s">
        <v>2750</v>
      </c>
      <c r="B29" s="10" t="n">
        <f aca="false">COUNTIFS(Data!$K$2:$K$1352,A29)</f>
        <v>343</v>
      </c>
      <c r="C29" s="17" t="n">
        <f aca="false">AVERAGEIFS(Data!$H$2:$H$1352,Data!$K$2:$K$1352,A29)</f>
        <v>4.05043731778426</v>
      </c>
      <c r="D29" s="11" t="n">
        <f aca="false">AVERAGEIFS(Data!$F$2:$F$1352,Data!$K$2:$K$1352,A29)</f>
        <v>981.410874635569</v>
      </c>
    </row>
    <row r="30" customFormat="false" ht="15" hidden="false" customHeight="false" outlineLevel="0" collapsed="false">
      <c r="A30" s="10" t="s">
        <v>2751</v>
      </c>
      <c r="B30" s="10" t="n">
        <f aca="false">COUNTIFS(Data!$K$2:$K$1352,A30)</f>
        <v>81</v>
      </c>
      <c r="C30" s="17" t="n">
        <f aca="false">AVERAGEIFS(Data!$H$2:$H$1352,Data!$K$2:$K$1352,A30)</f>
        <v>4.01728395061728</v>
      </c>
      <c r="D30" s="11" t="n">
        <f aca="false">AVERAGEIFS(Data!$F$2:$F$1352,Data!$K$2:$K$1352,A30)</f>
        <v>645.246913580247</v>
      </c>
    </row>
    <row r="33" customFormat="false" ht="15" hidden="false" customHeight="false" outlineLevel="0" collapsed="false">
      <c r="A33" s="14" t="s">
        <v>2752</v>
      </c>
    </row>
    <row r="34" customFormat="false" ht="15" hidden="false" customHeight="false" outlineLevel="0" collapsed="false">
      <c r="A34" s="15" t="s">
        <v>18</v>
      </c>
      <c r="B34" s="15" t="s">
        <v>2742</v>
      </c>
      <c r="C34" s="15" t="s">
        <v>2753</v>
      </c>
    </row>
    <row r="35" customFormat="false" ht="15" hidden="false" customHeight="false" outlineLevel="0" collapsed="false">
      <c r="A35" s="10" t="s">
        <v>2754</v>
      </c>
      <c r="B35" s="10" t="n">
        <f aca="false">COUNTIFS(Data!$L$2:$L$1352,A35)</f>
        <v>41</v>
      </c>
      <c r="C35" s="16" t="n">
        <f aca="false">B35/SUM($B$35:$B$38)</f>
        <v>0.0303703703703704</v>
      </c>
    </row>
    <row r="36" customFormat="false" ht="15" hidden="false" customHeight="false" outlineLevel="0" collapsed="false">
      <c r="A36" s="10" t="s">
        <v>2755</v>
      </c>
      <c r="B36" s="10" t="n">
        <f aca="false">COUNTIFS(Data!$L$2:$L$1352,A36)</f>
        <v>299</v>
      </c>
      <c r="C36" s="16" t="n">
        <f aca="false">B36/SUM($B$35:$B$38)</f>
        <v>0.221481481481481</v>
      </c>
    </row>
    <row r="37" customFormat="false" ht="15" hidden="false" customHeight="false" outlineLevel="0" collapsed="false">
      <c r="A37" s="10" t="s">
        <v>2756</v>
      </c>
      <c r="B37" s="10" t="n">
        <f aca="false">COUNTIFS(Data!$L$2:$L$1352,A37)</f>
        <v>914</v>
      </c>
      <c r="C37" s="16" t="n">
        <f aca="false">B37/SUM($B$35:$B$38)</f>
        <v>0.677037037037037</v>
      </c>
    </row>
    <row r="38" customFormat="false" ht="15" hidden="false" customHeight="false" outlineLevel="0" collapsed="false">
      <c r="A38" s="10" t="s">
        <v>2757</v>
      </c>
      <c r="B38" s="10" t="n">
        <f aca="false">COUNTIFS(Data!$L$2:$L$1352,A38)</f>
        <v>96</v>
      </c>
      <c r="C38" s="16" t="n">
        <f aca="false">B38/SUM($B$35:$B$38)</f>
        <v>0.0711111111111111</v>
      </c>
    </row>
    <row r="41" customFormat="false" ht="15" hidden="false" customHeight="false" outlineLevel="0" collapsed="false">
      <c r="A41" s="14" t="s">
        <v>2758</v>
      </c>
    </row>
    <row r="42" customFormat="false" ht="15" hidden="false" customHeight="false" outlineLevel="0" collapsed="false">
      <c r="A42" s="15" t="s">
        <v>7</v>
      </c>
      <c r="B42" s="15" t="s">
        <v>2759</v>
      </c>
      <c r="C42" s="15" t="s">
        <v>2760</v>
      </c>
      <c r="D42" s="15" t="s">
        <v>14</v>
      </c>
      <c r="E42" s="15" t="s">
        <v>13</v>
      </c>
    </row>
    <row r="43" customFormat="false" ht="15" hidden="false" customHeight="false" outlineLevel="0" collapsed="false">
      <c r="A43" s="10" t="s">
        <v>46</v>
      </c>
      <c r="B43" s="10" t="str">
        <f aca="false">LEFT(INDEX(Data!$B$2:$B$1352,MATCH(A43,Data!$A$2:$A$1352,0)),45)</f>
        <v>AmazonBasics Flexible Premium HDMI Cable (Bla</v>
      </c>
      <c r="C43" s="11" t="n">
        <f aca="false">INDEX(Data!$I$2:$I$1352,MATCH(A43,Data!$A$2:$A$1352,0))</f>
        <v>426973</v>
      </c>
      <c r="D43" s="13" t="n">
        <f aca="false">INDEX(Data!$H$2:$H$1352,MATCH(A43,Data!$A$2:$A$1352,0))</f>
        <v>4.4</v>
      </c>
      <c r="E43" s="12" t="n">
        <f aca="false">INDEX(Data!$G$2:$G$1352,MATCH(A43,Data!$A$2:$A$1352,0))</f>
        <v>0.69</v>
      </c>
    </row>
    <row r="44" customFormat="false" ht="15" hidden="false" customHeight="false" outlineLevel="0" collapsed="false">
      <c r="A44" s="10" t="s">
        <v>812</v>
      </c>
      <c r="B44" s="10" t="str">
        <f aca="false">LEFT(INDEX(Data!$B$2:$B$1352,MATCH(A44,Data!$A$2:$A$1352,0)),45)</f>
        <v>boAt Bassheads 100 in Ear Wired Earphones wit</v>
      </c>
      <c r="C44" s="11" t="n">
        <f aca="false">INDEX(Data!$I$2:$I$1352,MATCH(A44,Data!$A$2:$A$1352,0))</f>
        <v>363713</v>
      </c>
      <c r="D44" s="13" t="n">
        <f aca="false">INDEX(Data!$H$2:$H$1352,MATCH(A44,Data!$A$2:$A$1352,0))</f>
        <v>4.1</v>
      </c>
      <c r="E44" s="12" t="n">
        <f aca="false">INDEX(Data!$G$2:$G$1352,MATCH(A44,Data!$A$2:$A$1352,0))</f>
        <v>0.62</v>
      </c>
    </row>
    <row r="45" customFormat="false" ht="15" hidden="false" customHeight="false" outlineLevel="0" collapsed="false">
      <c r="A45" s="10" t="s">
        <v>1129</v>
      </c>
      <c r="B45" s="10" t="str">
        <f aca="false">LEFT(INDEX(Data!$B$2:$B$1352,MATCH(A45,Data!$A$2:$A$1352,0)),45)</f>
        <v>boAt BassHeads 100 in-Ear Wired Headphones wi</v>
      </c>
      <c r="C45" s="11" t="n">
        <f aca="false">INDEX(Data!$I$2:$I$1352,MATCH(A45,Data!$A$2:$A$1352,0))</f>
        <v>363711</v>
      </c>
      <c r="D45" s="13" t="n">
        <f aca="false">INDEX(Data!$H$2:$H$1352,MATCH(A45,Data!$A$2:$A$1352,0))</f>
        <v>4.1</v>
      </c>
      <c r="E45" s="12" t="n">
        <f aca="false">INDEX(Data!$G$2:$G$1352,MATCH(A45,Data!$A$2:$A$1352,0))</f>
        <v>0.63</v>
      </c>
    </row>
    <row r="46" customFormat="false" ht="15" hidden="false" customHeight="false" outlineLevel="0" collapsed="false">
      <c r="A46" s="10" t="s">
        <v>763</v>
      </c>
      <c r="B46" s="10" t="str">
        <f aca="false">LEFT(INDEX(Data!$B$2:$B$1352,MATCH(A46,Data!$A$2:$A$1352,0)),45)</f>
        <v>Redmi 9 Activ (Carbon Black, 4GB RAM, 64GB St</v>
      </c>
      <c r="C46" s="11" t="n">
        <f aca="false">INDEX(Data!$I$2:$I$1352,MATCH(A46,Data!$A$2:$A$1352,0))</f>
        <v>313836</v>
      </c>
      <c r="D46" s="13" t="n">
        <f aca="false">INDEX(Data!$H$2:$H$1352,MATCH(A46,Data!$A$2:$A$1352,0))</f>
        <v>4.1</v>
      </c>
      <c r="E46" s="12" t="n">
        <f aca="false">INDEX(Data!$G$2:$G$1352,MATCH(A46,Data!$A$2:$A$1352,0))</f>
        <v>0.23</v>
      </c>
    </row>
    <row r="47" customFormat="false" ht="15" hidden="false" customHeight="false" outlineLevel="0" collapsed="false">
      <c r="A47" s="10" t="s">
        <v>932</v>
      </c>
      <c r="B47" s="10" t="str">
        <f aca="false">LEFT(INDEX(Data!$B$2:$B$1352,MATCH(A47,Data!$A$2:$A$1352,0)),45)</f>
        <v>Redmi 9A Sport (Carbon Black, 2GB RAM, 32GB S</v>
      </c>
      <c r="C47" s="11" t="n">
        <f aca="false">INDEX(Data!$I$2:$I$1352,MATCH(A47,Data!$A$2:$A$1352,0))</f>
        <v>313832</v>
      </c>
      <c r="D47" s="13" t="n">
        <f aca="false">INDEX(Data!$H$2:$H$1352,MATCH(A47,Data!$A$2:$A$1352,0))</f>
        <v>4.1</v>
      </c>
      <c r="E47" s="12" t="n">
        <f aca="false">INDEX(Data!$G$2:$G$1352,MATCH(A47,Data!$A$2:$A$1352,0))</f>
        <v>0.19</v>
      </c>
    </row>
    <row r="48" customFormat="false" ht="15" hidden="false" customHeight="false" outlineLevel="0" collapsed="false">
      <c r="A48" s="10" t="s">
        <v>1405</v>
      </c>
      <c r="B48" s="10" t="str">
        <f aca="false">LEFT(INDEX(Data!$B$2:$B$1352,MATCH(A48,Data!$A$2:$A$1352,0)),45)</f>
        <v>boAt Bassheads 225 in Ear Wired Earphones wit</v>
      </c>
      <c r="C48" s="11" t="n">
        <f aca="false">INDEX(Data!$I$2:$I$1352,MATCH(A48,Data!$A$2:$A$1352,0))</f>
        <v>273189</v>
      </c>
      <c r="D48" s="13" t="n">
        <f aca="false">INDEX(Data!$H$2:$H$1352,MATCH(A48,Data!$A$2:$A$1352,0))</f>
        <v>4.1</v>
      </c>
      <c r="E48" s="12" t="n">
        <f aca="false">INDEX(Data!$G$2:$G$1352,MATCH(A48,Data!$A$2:$A$1352,0))</f>
        <v>0.3</v>
      </c>
    </row>
    <row r="49" customFormat="false" ht="15" hidden="false" customHeight="false" outlineLevel="0" collapsed="false">
      <c r="A49" s="10" t="s">
        <v>1863</v>
      </c>
      <c r="B49" s="10" t="str">
        <f aca="false">LEFT(INDEX(Data!$B$2:$B$1352,MATCH(A49,Data!$A$2:$A$1352,0)),45)</f>
        <v>Pigeon Polypropylene Mini Handy and Compact C</v>
      </c>
      <c r="C49" s="11" t="n">
        <f aca="false">INDEX(Data!$I$2:$I$1352,MATCH(A49,Data!$A$2:$A$1352,0))</f>
        <v>270563</v>
      </c>
      <c r="D49" s="13" t="n">
        <f aca="false">INDEX(Data!$H$2:$H$1352,MATCH(A49,Data!$A$2:$A$1352,0))</f>
        <v>4.1</v>
      </c>
      <c r="E49" s="12" t="n">
        <f aca="false">INDEX(Data!$G$2:$G$1352,MATCH(A49,Data!$A$2:$A$1352,0))</f>
        <v>0.6</v>
      </c>
    </row>
    <row r="50" customFormat="false" ht="15" hidden="false" customHeight="false" outlineLevel="0" collapsed="false">
      <c r="A50" s="10" t="s">
        <v>1133</v>
      </c>
      <c r="B50" s="10" t="str">
        <f aca="false">LEFT(INDEX(Data!$B$2:$B$1352,MATCH(A50,Data!$A$2:$A$1352,0)),45)</f>
        <v>SanDisk Cruzer Blade 32GB USB Flash Drive</v>
      </c>
      <c r="C50" s="11" t="n">
        <f aca="false">INDEX(Data!$I$2:$I$1352,MATCH(A50,Data!$A$2:$A$1352,0))</f>
        <v>253105</v>
      </c>
      <c r="D50" s="13" t="n">
        <f aca="false">INDEX(Data!$H$2:$H$1352,MATCH(A50,Data!$A$2:$A$1352,0))</f>
        <v>4.3</v>
      </c>
      <c r="E50" s="12" t="n">
        <f aca="false">INDEX(Data!$G$2:$G$1352,MATCH(A50,Data!$A$2:$A$1352,0))</f>
        <v>0.56</v>
      </c>
    </row>
    <row r="51" customFormat="false" ht="15" hidden="false" customHeight="false" outlineLevel="0" collapsed="false">
      <c r="A51" s="10" t="s">
        <v>1587</v>
      </c>
      <c r="B51" s="10" t="str">
        <f aca="false">LEFT(INDEX(Data!$B$2:$B$1352,MATCH(A51,Data!$A$2:$A$1352,0)),45)</f>
        <v>SanDisk Extreme SD UHS I 64GB Card for 4K Vid</v>
      </c>
      <c r="C51" s="11" t="n">
        <f aca="false">INDEX(Data!$I$2:$I$1352,MATCH(A51,Data!$A$2:$A$1352,0))</f>
        <v>205052</v>
      </c>
      <c r="D51" s="13" t="n">
        <f aca="false">INDEX(Data!$H$2:$H$1352,MATCH(A51,Data!$A$2:$A$1352,0))</f>
        <v>4.5</v>
      </c>
      <c r="E51" s="12" t="n">
        <f aca="false">INDEX(Data!$G$2:$G$1352,MATCH(A51,Data!$A$2:$A$1352,0))</f>
        <v>0.48</v>
      </c>
    </row>
    <row r="52" customFormat="false" ht="15" hidden="false" customHeight="false" outlineLevel="0" collapsed="false">
      <c r="A52" s="10" t="s">
        <v>720</v>
      </c>
      <c r="B52" s="10" t="str">
        <f aca="false">LEFT(INDEX(Data!$B$2:$B$1352,MATCH(A52,Data!$A$2:$A$1352,0)),45)</f>
        <v>JBL C100SI Wired In Ear Headphones with Mic, </v>
      </c>
      <c r="C52" s="11" t="n">
        <f aca="false">INDEX(Data!$I$2:$I$1352,MATCH(A52,Data!$A$2:$A$1352,0))</f>
        <v>192590</v>
      </c>
      <c r="D52" s="13" t="n">
        <f aca="false">INDEX(Data!$H$2:$H$1352,MATCH(A52,Data!$A$2:$A$1352,0))</f>
        <v>4.1</v>
      </c>
      <c r="E52" s="12" t="n">
        <f aca="false">INDEX(Data!$G$2:$G$1352,MATCH(A52,Data!$A$2:$A$1352,0))</f>
        <v>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0"/>
    <col collapsed="false" customWidth="true" hidden="false" outlineLevel="0" max="3" min="3" style="0" width="14"/>
  </cols>
  <sheetData>
    <row r="1" customFormat="false" ht="15" hidden="false" customHeight="false" outlineLevel="0" collapsed="false">
      <c r="A1" s="18" t="s">
        <v>2761</v>
      </c>
      <c r="B1" s="18" t="s">
        <v>2762</v>
      </c>
      <c r="C1" s="18" t="s">
        <v>2763</v>
      </c>
    </row>
    <row r="2" customFormat="false" ht="15" hidden="false" customHeight="false" outlineLevel="0" collapsed="false">
      <c r="A2" s="19" t="s">
        <v>2764</v>
      </c>
      <c r="B2" s="19" t="s">
        <v>2765</v>
      </c>
      <c r="C2" s="19" t="n">
        <v>1465</v>
      </c>
    </row>
    <row r="3" customFormat="false" ht="15" hidden="false" customHeight="false" outlineLevel="0" collapsed="false">
      <c r="A3" s="19" t="s">
        <v>2766</v>
      </c>
      <c r="B3" s="19" t="s">
        <v>2767</v>
      </c>
      <c r="C3" s="19" t="n">
        <v>114</v>
      </c>
    </row>
    <row r="4" customFormat="false" ht="15" hidden="false" customHeight="false" outlineLevel="0" collapsed="false">
      <c r="A4" s="19" t="s">
        <v>2768</v>
      </c>
      <c r="B4" s="19" t="s">
        <v>2769</v>
      </c>
      <c r="C4" s="19" t="s">
        <v>2770</v>
      </c>
    </row>
    <row r="5" customFormat="false" ht="15" hidden="false" customHeight="false" outlineLevel="0" collapsed="false">
      <c r="A5" s="19" t="s">
        <v>2771</v>
      </c>
      <c r="B5" s="19" t="s">
        <v>2772</v>
      </c>
      <c r="C5" s="19" t="s">
        <v>2770</v>
      </c>
    </row>
    <row r="6" customFormat="false" ht="15" hidden="false" customHeight="false" outlineLevel="0" collapsed="false">
      <c r="A6" s="19" t="s">
        <v>2773</v>
      </c>
      <c r="B6" s="19" t="s">
        <v>2774</v>
      </c>
      <c r="C6" s="19" t="n">
        <v>1</v>
      </c>
    </row>
    <row r="7" customFormat="false" ht="15" hidden="false" customHeight="false" outlineLevel="0" collapsed="false">
      <c r="A7" s="19" t="s">
        <v>2775</v>
      </c>
      <c r="B7" s="19" t="s">
        <v>2776</v>
      </c>
      <c r="C7" s="19" t="n">
        <v>2</v>
      </c>
    </row>
    <row r="8" customFormat="false" ht="15" hidden="false" customHeight="false" outlineLevel="0" collapsed="false">
      <c r="A8" s="19" t="s">
        <v>2777</v>
      </c>
      <c r="B8" s="19" t="s">
        <v>2778</v>
      </c>
      <c r="C8" s="19" t="s">
        <v>2770</v>
      </c>
    </row>
    <row r="9" customFormat="false" ht="15" hidden="false" customHeight="false" outlineLevel="0" collapsed="false">
      <c r="A9" s="19" t="s">
        <v>2779</v>
      </c>
      <c r="B9" s="19" t="s">
        <v>2780</v>
      </c>
      <c r="C9" s="19" t="s">
        <v>2781</v>
      </c>
    </row>
    <row r="10" customFormat="false" ht="15" hidden="false" customHeight="false" outlineLevel="0" collapsed="false">
      <c r="A10" s="19" t="s">
        <v>2782</v>
      </c>
      <c r="B10" s="19" t="s">
        <v>2783</v>
      </c>
      <c r="C10" s="19" t="s">
        <v>2770</v>
      </c>
    </row>
    <row r="11" customFormat="false" ht="15" hidden="false" customHeight="false" outlineLevel="0" collapsed="false">
      <c r="A11" s="19" t="s">
        <v>2784</v>
      </c>
      <c r="B11" s="19" t="s">
        <v>2785</v>
      </c>
      <c r="C11" s="19" t="n">
        <v>1351</v>
      </c>
    </row>
    <row r="13" customFormat="false" ht="15" hidden="false" customHeight="false" outlineLevel="0" collapsed="false">
      <c r="B13" s="20" t="s">
        <v>2786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2026-10-28T05:49:58Z</dcterms:created>
  <dc:creator>openpyxl</dc:creator>
  <dc:description/>
  <dc:language>en-US</dc:language>
  <cp:lastModifiedBy/>
  <dcterms:modified xsi:type="dcterms:W3CDTF">2026-10-28T05:49:59Z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